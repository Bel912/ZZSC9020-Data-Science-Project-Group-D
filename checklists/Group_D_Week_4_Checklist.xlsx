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Week 4/"/>
    </mc:Choice>
  </mc:AlternateContent>
  <xr:revisionPtr revIDLastSave="0" documentId="8_{0FFCC7F6-4CBC-464D-B719-E5DD2D78A5E8}" xr6:coauthVersionLast="47" xr6:coauthVersionMax="47" xr10:uidLastSave="{00000000-0000-0000-0000-000000000000}"/>
  <bookViews>
    <workbookView xWindow="28680" yWindow="960" windowWidth="29040" windowHeight="15720" xr2:uid="{00000000-000D-0000-FFFF-FFFF00000000}"/>
  </bookViews>
  <sheets>
    <sheet name="Week 4 Checklist" sheetId="1" r:id="rId1"/>
    <sheet name="Team Deliverables" sheetId="2" r:id="rId2"/>
  </sheets>
  <definedNames>
    <definedName name="_xlnm._FilterDatabase" localSheetId="1" hidden="1">'Team Deliverables'!$A$4:$D$16</definedName>
    <definedName name="_xlnm.Print_Titles" localSheetId="0">'Week 4 Checklist'!$1:$5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D39" i="1"/>
  <c r="C39" i="1"/>
  <c r="B39" i="1"/>
  <c r="E38" i="1"/>
  <c r="D38" i="1"/>
  <c r="C38" i="1"/>
  <c r="B38" i="1"/>
  <c r="E37" i="1"/>
  <c r="D37" i="1"/>
  <c r="C37" i="1"/>
  <c r="B37" i="1"/>
</calcChain>
</file>

<file path=xl/sharedStrings.xml><?xml version="1.0" encoding="utf-8"?>
<sst xmlns="http://schemas.openxmlformats.org/spreadsheetml/2006/main" count="194" uniqueCount="99">
  <si>
    <t>Week 4 Checklist</t>
  </si>
  <si>
    <t>Group D - Week 4 Checklist</t>
  </si>
  <si>
    <t>Focus: implement selected methods, complete initial statistical models, evaluate results, and begin report drafting.</t>
  </si>
  <si>
    <t>Team Member</t>
  </si>
  <si>
    <t>Role / Focus</t>
  </si>
  <si>
    <t>Week 4 Task</t>
  </si>
  <si>
    <t>Status</t>
  </si>
  <si>
    <t>Notes / Evidence</t>
  </si>
  <si>
    <t>Bel Zhou</t>
  </si>
  <si>
    <t>Data Engineer / Researcher</t>
  </si>
  <si>
    <t>Complete a final quality review of the historical modelling dataset and document any remaining missing values or outliers.</t>
  </si>
  <si>
    <t>☐ Not started</t>
  </si>
  <si>
    <t>Confirm modelling period, row count, duplicates, interval continuity and treatment decisions.</t>
  </si>
  <si>
    <t>Add the NSW public holiday indicator and any agreed final calendar features.</t>
  </si>
  <si>
    <t>Update the modelling dataset and document the source and transformation.</t>
  </si>
  <si>
    <t>Review lag, change and ramp features for chronological accuracy and potential data leakage.</t>
  </si>
  <si>
    <t>Confirm features are generated after sorting and before chronological splitting.</t>
  </si>
  <si>
    <t>Prepare the final Week 4 modelling dataset (v2) for analysis.</t>
  </si>
  <si>
    <t>Retain a reproducible processed dataset and a smaller sample for GitHub if required.</t>
  </si>
  <si>
    <t>Update the Data Dictionary and Data Quality Summary for all Week 4 changes.</t>
  </si>
  <si>
    <t>Include feature definitions, units, sources, limitations and missing-value handling.</t>
  </si>
  <si>
    <t>Prepare report-ready summary tables and additional visualisations requested during modelling.</t>
  </si>
  <si>
    <t>Provide clear titles, units, notes and figure captions.</t>
  </si>
  <si>
    <t>Draft the Data Description, Data Processing and Feature Engineering report sections.</t>
  </si>
  <si>
    <t>Use the completed Week 3 dataset and EDA documentation as evidence.</t>
  </si>
  <si>
    <t>Support interpretation and peer review of the statistical modelling outputs.</t>
  </si>
  <si>
    <t>Check that conclusions are consistent with the data and research questions.</t>
  </si>
  <si>
    <t>Anders Appel</t>
  </si>
  <si>
    <t>Data Engineer / Analyst</t>
  </si>
  <si>
    <t>Complete Pearson and Spearman correlation analyses for the selected modelling variables.</t>
  </si>
  <si>
    <t>Report coefficients and explain why both measures are relevant.</t>
  </si>
  <si>
    <t>Complete cross-correlation analysis between PV changes and demand changes.</t>
  </si>
  <si>
    <t>Identify and document the strongest short-term lag relationships.</t>
  </si>
  <si>
    <t>Define chronological training, validation and test periods.</t>
  </si>
  <si>
    <t>Record the date boundaries and explain how the split prevents leakage.</t>
  </si>
  <si>
    <t>Build the baseline OLS regression model for operational demand or demand change.</t>
  </si>
  <si>
    <t>Specify the target, predictors, reference categories and assumptions.</t>
  </si>
  <si>
    <t>Assess coefficient estimates, confidence intervals and statistical significance.</t>
  </si>
  <si>
    <t>Report effect sizes in interpretable units such as MW.</t>
  </si>
  <si>
    <t>Complete regression diagnostics and revise the specification where required.</t>
  </si>
  <si>
    <t>Check residual patterns, heteroscedasticity, autocorrelation and influential observations.</t>
  </si>
  <si>
    <t>Assess multicollinearity and decide which weather variables to retain.</t>
  </si>
  <si>
    <t>Use correlation review and VIF or another documented diagnostic.</t>
  </si>
  <si>
    <t>Build an initial non-linear or alternative model, such as GAM, if appropriate.</t>
  </si>
  <si>
    <t>Compare its fit and interpretability with the baseline model.</t>
  </si>
  <si>
    <t>Calculate initial out-of-sample MAE, RMSE and R-squared where appropriate.</t>
  </si>
  <si>
    <t>Use only chronological holdout data for predictive evaluation.</t>
  </si>
  <si>
    <t>Document model assumptions, limitations and initial findings for the report.</t>
  </si>
  <si>
    <t>Provide reproducible code, tables and concise interpretation.</t>
  </si>
  <si>
    <t>William Sivieng</t>
  </si>
  <si>
    <t>Project Lead</t>
  </si>
  <si>
    <t>Lead the Week 4 team meeting and review progress against the project schedule.</t>
  </si>
  <si>
    <t>Record decisions, owners, blockers and next actions.</t>
  </si>
  <si>
    <t>Attend the course coordinator consultation and document the feedback received.</t>
  </si>
  <si>
    <t>Capture any required changes to scope, methods or deliverables.</t>
  </si>
  <si>
    <t>Coordinate the incorporation of coordinator feedback into the Week 4 work plan.</t>
  </si>
  <si>
    <t>Assign owners and update the task board.</t>
  </si>
  <si>
    <t>Confirm that the selected models and evaluation measures address the three research questions.</t>
  </si>
  <si>
    <t>Check alignment with effect size, time and weather variation, and predictive performance.</t>
  </si>
  <si>
    <t>Create the first full report structure and allocate section owners and peer reviewers.</t>
  </si>
  <si>
    <t>Include Introduction, Literature Review, Data, Methods, Results, Discussion and Conclusion.</t>
  </si>
  <si>
    <t>Review the draft Data and Methodology sections for clarity and consistency.</t>
  </si>
  <si>
    <t>Check terminology, references, figure numbering and connection to the project plan.</t>
  </si>
  <si>
    <t>Review initial modelling outputs and coordinate team interpretation.</t>
  </si>
  <si>
    <t>Ensure claims distinguish association, inference and prediction.</t>
  </si>
  <si>
    <t>Confirm that the GitHub repository and project task board are current.</t>
  </si>
  <si>
    <t>Check folder structure, filenames, version history and evidence links.</t>
  </si>
  <si>
    <t>Coordinate the Week 4 teamwork reflection and plan Week 5 priorities.</t>
  </si>
  <si>
    <t>Document workload balance and agreed model-refinement tasks.</t>
  </si>
  <si>
    <t>Current Status Summary</t>
  </si>
  <si>
    <t>Total Tasks</t>
  </si>
  <si>
    <t>Complete</t>
  </si>
  <si>
    <t>In Progress</t>
  </si>
  <si>
    <t>Blocked</t>
  </si>
  <si>
    <t>Week 4 Team Deliverables</t>
  </si>
  <si>
    <t>Shared outcomes expected by the end of Week 4</t>
  </si>
  <si>
    <t>Deliverable</t>
  </si>
  <si>
    <t>Owner / Contributors</t>
  </si>
  <si>
    <t>Evidence / Link</t>
  </si>
  <si>
    <t>Final Week 4 modelling dataset v2</t>
  </si>
  <si>
    <t>Bel / Anders</t>
  </si>
  <si>
    <t>Final feature and data-quality documentation</t>
  </si>
  <si>
    <t>Bel</t>
  </si>
  <si>
    <t>Pearson, Spearman and cross-correlation analyses</t>
  </si>
  <si>
    <t>Anders / Bel</t>
  </si>
  <si>
    <t>Chronological training, validation and test framework</t>
  </si>
  <si>
    <t>Anders / William</t>
  </si>
  <si>
    <t>Baseline OLS regression and diagnostics</t>
  </si>
  <si>
    <t>Anders</t>
  </si>
  <si>
    <t>Initial alternative or non-linear model</t>
  </si>
  <si>
    <t>Initial out-of-sample MAE, RMSE and model comparison</t>
  </si>
  <si>
    <t>Draft Data and Feature Engineering report sections</t>
  </si>
  <si>
    <t>Bel / William</t>
  </si>
  <si>
    <t>Draft Methodology and initial Results sections</t>
  </si>
  <si>
    <t>Coordinator consultation feedback and action log</t>
  </si>
  <si>
    <t>William / All</t>
  </si>
  <si>
    <t>Updated GitHub repository and task board</t>
  </si>
  <si>
    <t>All</t>
  </si>
  <si>
    <t>Week 4 teamwork reflection and Week 5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</si>
</sst>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rgb="FF17365D"/>
      <name val="Aptos Display"/>
    </font>
    <font>
      <b/>
      <sz val="12"/>
      <color rgb="FF00A6A6"/>
      <name val="Aptos"/>
    </font>
    <font>
      <i/>
      <sz val="10"/>
      <color rgb="FF64748B"/>
      <name val="Aptos"/>
    </font>
    <font>
      <b/>
      <sz val="11"/>
      <color rgb="FFFFFFFF"/>
      <name val="Aptos"/>
    </font>
    <font>
      <sz val="10"/>
      <color rgb="FF1F2937"/>
      <name val="Aptos"/>
    </font>
    <font>
      <b/>
      <sz val="12"/>
      <color rgb="FFFFFFFF"/>
      <name val="Aptos"/>
    </font>
    <font>
      <b/>
      <sz val="11"/>
      <color rgb="FF17365D"/>
      <name val="Aptos"/>
    </font>
    <font>
      <b/>
      <sz val="20"/>
      <color rgb="FF17365D"/>
      <name val="Aptos Display"/>
    </font>
    <font>
      <i/>
      <sz val="11"/>
      <color rgb="FF64748B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0A6A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6" fillId="4" borderId="0" xfId="0" applyFont="1" applyFill="1"/>
    <xf numFmtId="0" fontId="3" fillId="0" borderId="0" xfId="0" applyFont="1" applyAlignment="1">
      <alignment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4Checklist" displayName="Week4Checklist" ref="A5:E32">
  <autoFilter ref="A5:E32" xr:uid="{00000000-0009-0000-0100-000001000000}"/>
  <tableColumns count="5">
    <tableColumn id="1" xr3:uid="{00000000-0010-0000-0000-000001000000}" name="Team Member"/>
    <tableColumn id="2" xr3:uid="{00000000-0010-0000-0000-000002000000}" name="Role / Focus"/>
    <tableColumn id="3" xr3:uid="{00000000-0010-0000-0000-000003000000}" name="Week 4 Task"/>
    <tableColumn id="4" xr3:uid="{00000000-0010-0000-0000-000004000000}" name="Status"/>
    <tableColumn id="5" xr3:uid="{00000000-0010-0000-0000-000005000000}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E39"/>
  <sheetViews>
    <sheetView showGridLines="0" tabSelected="1" workbookViewId="0">
      <pane ySplit="5" topLeftCell="A6" activePane="bottomLeft" state="frozen"/>
      <selection pane="bottomLeft" sqref="A1:E1"/>
    </sheetView>
  </sheetViews>
  <sheetFormatPr defaultRowHeight="14.5" x14ac:dyDescent="0.35"/>
  <cols>
    <col min="1" max="1" width="22" customWidth="1"/>
    <col min="2" max="2" width="29" customWidth="1"/>
    <col min="3" max="3" width="72" customWidth="1"/>
    <col min="4" max="4" width="18" customWidth="1"/>
    <col min="5" max="5" width="49" customWidth="1"/>
  </cols>
  <sheetData>
    <row r="1" spans="1:5" ht="34" customHeight="1" x14ac:dyDescent="0.35">
      <c r="A1" s="11" t="s">
        <v>0</v>
      </c>
      <c r="B1" s="10"/>
      <c r="C1" s="10"/>
      <c r="D1" s="10"/>
      <c r="E1" s="10"/>
    </row>
    <row r="2" spans="1:5" ht="16" x14ac:dyDescent="0.4">
      <c r="A2" s="9" t="s">
        <v>1</v>
      </c>
      <c r="B2" s="10"/>
      <c r="C2" s="10"/>
      <c r="D2" s="10"/>
      <c r="E2" s="10"/>
    </row>
    <row r="3" spans="1:5" ht="28" customHeight="1" x14ac:dyDescent="0.35">
      <c r="A3" s="13" t="s">
        <v>2</v>
      </c>
      <c r="B3" s="10"/>
      <c r="C3" s="10"/>
      <c r="D3" s="10"/>
      <c r="E3" s="10"/>
    </row>
    <row r="5" spans="1:5" ht="30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46" customHeight="1" x14ac:dyDescent="0.35">
      <c r="A6" s="2" t="s">
        <v>8</v>
      </c>
      <c r="B6" s="2" t="s">
        <v>9</v>
      </c>
      <c r="C6" s="3" t="s">
        <v>10</v>
      </c>
      <c r="D6" s="4" t="s">
        <v>11</v>
      </c>
      <c r="E6" s="3" t="s">
        <v>12</v>
      </c>
    </row>
    <row r="7" spans="1:5" ht="46" customHeight="1" x14ac:dyDescent="0.35">
      <c r="A7" s="2" t="s">
        <v>8</v>
      </c>
      <c r="B7" s="2" t="s">
        <v>9</v>
      </c>
      <c r="C7" s="3" t="s">
        <v>13</v>
      </c>
      <c r="D7" s="4" t="s">
        <v>11</v>
      </c>
      <c r="E7" s="3" t="s">
        <v>14</v>
      </c>
    </row>
    <row r="8" spans="1:5" ht="46" customHeight="1" x14ac:dyDescent="0.35">
      <c r="A8" s="2" t="s">
        <v>8</v>
      </c>
      <c r="B8" s="2" t="s">
        <v>9</v>
      </c>
      <c r="C8" s="3" t="s">
        <v>15</v>
      </c>
      <c r="D8" s="4" t="s">
        <v>11</v>
      </c>
      <c r="E8" s="3" t="s">
        <v>16</v>
      </c>
    </row>
    <row r="9" spans="1:5" ht="46" customHeight="1" x14ac:dyDescent="0.35">
      <c r="A9" s="2" t="s">
        <v>8</v>
      </c>
      <c r="B9" s="2" t="s">
        <v>9</v>
      </c>
      <c r="C9" s="3" t="s">
        <v>17</v>
      </c>
      <c r="D9" s="4" t="s">
        <v>11</v>
      </c>
      <c r="E9" s="3" t="s">
        <v>18</v>
      </c>
    </row>
    <row r="10" spans="1:5" ht="46" customHeight="1" x14ac:dyDescent="0.35">
      <c r="A10" s="2" t="s">
        <v>8</v>
      </c>
      <c r="B10" s="2" t="s">
        <v>9</v>
      </c>
      <c r="C10" s="3" t="s">
        <v>19</v>
      </c>
      <c r="D10" s="4" t="s">
        <v>11</v>
      </c>
      <c r="E10" s="3" t="s">
        <v>20</v>
      </c>
    </row>
    <row r="11" spans="1:5" ht="46" customHeight="1" x14ac:dyDescent="0.35">
      <c r="A11" s="2" t="s">
        <v>8</v>
      </c>
      <c r="B11" s="2" t="s">
        <v>9</v>
      </c>
      <c r="C11" s="3" t="s">
        <v>21</v>
      </c>
      <c r="D11" s="4" t="s">
        <v>11</v>
      </c>
      <c r="E11" s="3" t="s">
        <v>22</v>
      </c>
    </row>
    <row r="12" spans="1:5" ht="46" customHeight="1" x14ac:dyDescent="0.35">
      <c r="A12" s="2" t="s">
        <v>8</v>
      </c>
      <c r="B12" s="2" t="s">
        <v>9</v>
      </c>
      <c r="C12" s="3" t="s">
        <v>23</v>
      </c>
      <c r="D12" s="4" t="s">
        <v>11</v>
      </c>
      <c r="E12" s="3" t="s">
        <v>24</v>
      </c>
    </row>
    <row r="13" spans="1:5" ht="46" customHeight="1" x14ac:dyDescent="0.35">
      <c r="A13" s="2" t="s">
        <v>8</v>
      </c>
      <c r="B13" s="2" t="s">
        <v>9</v>
      </c>
      <c r="C13" s="3" t="s">
        <v>25</v>
      </c>
      <c r="D13" s="4" t="s">
        <v>11</v>
      </c>
      <c r="E13" s="3" t="s">
        <v>26</v>
      </c>
    </row>
    <row r="14" spans="1:5" ht="46" customHeight="1" x14ac:dyDescent="0.35">
      <c r="A14" s="2" t="s">
        <v>27</v>
      </c>
      <c r="B14" s="2" t="s">
        <v>28</v>
      </c>
      <c r="C14" s="3" t="s">
        <v>29</v>
      </c>
      <c r="D14" s="4" t="s">
        <v>11</v>
      </c>
      <c r="E14" s="3" t="s">
        <v>30</v>
      </c>
    </row>
    <row r="15" spans="1:5" ht="46" customHeight="1" x14ac:dyDescent="0.35">
      <c r="A15" s="2" t="s">
        <v>27</v>
      </c>
      <c r="B15" s="2" t="s">
        <v>28</v>
      </c>
      <c r="C15" s="3" t="s">
        <v>31</v>
      </c>
      <c r="D15" s="4" t="s">
        <v>11</v>
      </c>
      <c r="E15" s="3" t="s">
        <v>32</v>
      </c>
    </row>
    <row r="16" spans="1:5" ht="46" customHeight="1" x14ac:dyDescent="0.35">
      <c r="A16" s="2" t="s">
        <v>27</v>
      </c>
      <c r="B16" s="2" t="s">
        <v>28</v>
      </c>
      <c r="C16" s="3" t="s">
        <v>33</v>
      </c>
      <c r="D16" s="4" t="s">
        <v>11</v>
      </c>
      <c r="E16" s="3" t="s">
        <v>34</v>
      </c>
    </row>
    <row r="17" spans="1:5" ht="46" customHeight="1" x14ac:dyDescent="0.35">
      <c r="A17" s="2" t="s">
        <v>27</v>
      </c>
      <c r="B17" s="2" t="s">
        <v>28</v>
      </c>
      <c r="C17" s="3" t="s">
        <v>35</v>
      </c>
      <c r="D17" s="4" t="s">
        <v>11</v>
      </c>
      <c r="E17" s="3" t="s">
        <v>36</v>
      </c>
    </row>
    <row r="18" spans="1:5" ht="46" customHeight="1" x14ac:dyDescent="0.35">
      <c r="A18" s="2" t="s">
        <v>27</v>
      </c>
      <c r="B18" s="2" t="s">
        <v>28</v>
      </c>
      <c r="C18" s="3" t="s">
        <v>37</v>
      </c>
      <c r="D18" s="4" t="s">
        <v>11</v>
      </c>
      <c r="E18" s="3" t="s">
        <v>38</v>
      </c>
    </row>
    <row r="19" spans="1:5" ht="46" customHeight="1" x14ac:dyDescent="0.35">
      <c r="A19" s="2" t="s">
        <v>27</v>
      </c>
      <c r="B19" s="2" t="s">
        <v>28</v>
      </c>
      <c r="C19" s="3" t="s">
        <v>39</v>
      </c>
      <c r="D19" s="4" t="s">
        <v>11</v>
      </c>
      <c r="E19" s="3" t="s">
        <v>40</v>
      </c>
    </row>
    <row r="20" spans="1:5" ht="46" customHeight="1" x14ac:dyDescent="0.35">
      <c r="A20" s="2" t="s">
        <v>27</v>
      </c>
      <c r="B20" s="2" t="s">
        <v>28</v>
      </c>
      <c r="C20" s="3" t="s">
        <v>41</v>
      </c>
      <c r="D20" s="4" t="s">
        <v>11</v>
      </c>
      <c r="E20" s="3" t="s">
        <v>42</v>
      </c>
    </row>
    <row r="21" spans="1:5" ht="46" customHeight="1" x14ac:dyDescent="0.35">
      <c r="A21" s="2" t="s">
        <v>27</v>
      </c>
      <c r="B21" s="2" t="s">
        <v>28</v>
      </c>
      <c r="C21" s="3" t="s">
        <v>43</v>
      </c>
      <c r="D21" s="4" t="s">
        <v>11</v>
      </c>
      <c r="E21" s="3" t="s">
        <v>44</v>
      </c>
    </row>
    <row r="22" spans="1:5" ht="46" customHeight="1" x14ac:dyDescent="0.35">
      <c r="A22" s="2" t="s">
        <v>27</v>
      </c>
      <c r="B22" s="2" t="s">
        <v>28</v>
      </c>
      <c r="C22" s="3" t="s">
        <v>45</v>
      </c>
      <c r="D22" s="4" t="s">
        <v>11</v>
      </c>
      <c r="E22" s="3" t="s">
        <v>46</v>
      </c>
    </row>
    <row r="23" spans="1:5" ht="46" customHeight="1" x14ac:dyDescent="0.35">
      <c r="A23" s="2" t="s">
        <v>27</v>
      </c>
      <c r="B23" s="2" t="s">
        <v>28</v>
      </c>
      <c r="C23" s="3" t="s">
        <v>47</v>
      </c>
      <c r="D23" s="4" t="s">
        <v>11</v>
      </c>
      <c r="E23" s="3" t="s">
        <v>48</v>
      </c>
    </row>
    <row r="24" spans="1:5" ht="46" customHeight="1" x14ac:dyDescent="0.35">
      <c r="A24" s="2" t="s">
        <v>49</v>
      </c>
      <c r="B24" s="2" t="s">
        <v>50</v>
      </c>
      <c r="C24" s="3" t="s">
        <v>51</v>
      </c>
      <c r="D24" s="4" t="s">
        <v>11</v>
      </c>
      <c r="E24" s="3" t="s">
        <v>52</v>
      </c>
    </row>
    <row r="25" spans="1:5" ht="46" customHeight="1" x14ac:dyDescent="0.35">
      <c r="A25" s="2" t="s">
        <v>49</v>
      </c>
      <c r="B25" s="2" t="s">
        <v>50</v>
      </c>
      <c r="C25" s="3" t="s">
        <v>53</v>
      </c>
      <c r="D25" s="4" t="s">
        <v>11</v>
      </c>
      <c r="E25" s="3" t="s">
        <v>54</v>
      </c>
    </row>
    <row r="26" spans="1:5" ht="46" customHeight="1" x14ac:dyDescent="0.35">
      <c r="A26" s="2" t="s">
        <v>49</v>
      </c>
      <c r="B26" s="2" t="s">
        <v>50</v>
      </c>
      <c r="C26" s="3" t="s">
        <v>55</v>
      </c>
      <c r="D26" s="4" t="s">
        <v>11</v>
      </c>
      <c r="E26" s="3" t="s">
        <v>56</v>
      </c>
    </row>
    <row r="27" spans="1:5" ht="46" customHeight="1" x14ac:dyDescent="0.35">
      <c r="A27" s="2" t="s">
        <v>49</v>
      </c>
      <c r="B27" s="2" t="s">
        <v>50</v>
      </c>
      <c r="C27" s="3" t="s">
        <v>57</v>
      </c>
      <c r="D27" s="4" t="s">
        <v>11</v>
      </c>
      <c r="E27" s="3" t="s">
        <v>58</v>
      </c>
    </row>
    <row r="28" spans="1:5" ht="46" customHeight="1" x14ac:dyDescent="0.35">
      <c r="A28" s="2" t="s">
        <v>49</v>
      </c>
      <c r="B28" s="2" t="s">
        <v>50</v>
      </c>
      <c r="C28" s="3" t="s">
        <v>59</v>
      </c>
      <c r="D28" s="4" t="s">
        <v>11</v>
      </c>
      <c r="E28" s="3" t="s">
        <v>60</v>
      </c>
    </row>
    <row r="29" spans="1:5" ht="46" customHeight="1" x14ac:dyDescent="0.35">
      <c r="A29" s="2" t="s">
        <v>49</v>
      </c>
      <c r="B29" s="2" t="s">
        <v>50</v>
      </c>
      <c r="C29" s="3" t="s">
        <v>61</v>
      </c>
      <c r="D29" s="4" t="s">
        <v>11</v>
      </c>
      <c r="E29" s="3" t="s">
        <v>62</v>
      </c>
    </row>
    <row r="30" spans="1:5" ht="46" customHeight="1" x14ac:dyDescent="0.35">
      <c r="A30" s="2" t="s">
        <v>49</v>
      </c>
      <c r="B30" s="2" t="s">
        <v>50</v>
      </c>
      <c r="C30" s="3" t="s">
        <v>63</v>
      </c>
      <c r="D30" s="4" t="s">
        <v>11</v>
      </c>
      <c r="E30" s="3" t="s">
        <v>64</v>
      </c>
    </row>
    <row r="31" spans="1:5" ht="46" customHeight="1" x14ac:dyDescent="0.35">
      <c r="A31" s="2" t="s">
        <v>49</v>
      </c>
      <c r="B31" s="2" t="s">
        <v>50</v>
      </c>
      <c r="C31" s="3" t="s">
        <v>65</v>
      </c>
      <c r="D31" s="4" t="s">
        <v>11</v>
      </c>
      <c r="E31" s="3" t="s">
        <v>66</v>
      </c>
    </row>
    <row r="32" spans="1:5" ht="46" customHeight="1" x14ac:dyDescent="0.35">
      <c r="A32" s="2" t="s">
        <v>49</v>
      </c>
      <c r="B32" s="2" t="s">
        <v>50</v>
      </c>
      <c r="C32" s="3" t="s">
        <v>67</v>
      </c>
      <c r="D32" s="4" t="s">
        <v>11</v>
      </c>
      <c r="E32" s="3" t="s">
        <v>68</v>
      </c>
    </row>
    <row r="35" spans="1:5" ht="16" x14ac:dyDescent="0.4">
      <c r="A35" s="12" t="s">
        <v>69</v>
      </c>
      <c r="B35" s="10"/>
      <c r="C35" s="10"/>
      <c r="D35" s="10"/>
      <c r="E35" s="10"/>
    </row>
    <row r="36" spans="1:5" x14ac:dyDescent="0.35">
      <c r="A36" s="5" t="s">
        <v>3</v>
      </c>
      <c r="B36" s="5" t="s">
        <v>70</v>
      </c>
      <c r="C36" s="5" t="s">
        <v>71</v>
      </c>
      <c r="D36" s="5" t="s">
        <v>72</v>
      </c>
      <c r="E36" s="5" t="s">
        <v>73</v>
      </c>
    </row>
    <row r="37" spans="1:5" x14ac:dyDescent="0.35">
      <c r="A37" s="6" t="s">
        <v>8</v>
      </c>
      <c r="B37" s="7">
        <f>COUNTIF($A$6:$A$32,A37)</f>
        <v>8</v>
      </c>
      <c r="C37" s="7">
        <f>COUNTIFS($A$6:$A$32,A37,$D$6:$D$32,"☑ Complete")</f>
        <v>0</v>
      </c>
      <c r="D37" s="7">
        <f>COUNTIFS($A$6:$A$32,A37,$D$6:$D$32,"◐ In progress")</f>
        <v>0</v>
      </c>
      <c r="E37" s="7">
        <f>COUNTIFS($A$6:$A$32,A37,$D$6:$D$32,"⚠ Blocked")</f>
        <v>0</v>
      </c>
    </row>
    <row r="38" spans="1:5" x14ac:dyDescent="0.35">
      <c r="A38" s="6" t="s">
        <v>27</v>
      </c>
      <c r="B38" s="7">
        <f>COUNTIF($A$6:$A$32,A38)</f>
        <v>10</v>
      </c>
      <c r="C38" s="7">
        <f>COUNTIFS($A$6:$A$32,A38,$D$6:$D$32,"☑ Complete")</f>
        <v>0</v>
      </c>
      <c r="D38" s="7">
        <f>COUNTIFS($A$6:$A$32,A38,$D$6:$D$32,"◐ In progress")</f>
        <v>0</v>
      </c>
      <c r="E38" s="7">
        <f>COUNTIFS($A$6:$A$32,A38,$D$6:$D$32,"⚠ Blocked")</f>
        <v>0</v>
      </c>
    </row>
    <row r="39" spans="1:5" x14ac:dyDescent="0.35">
      <c r="A39" s="6" t="s">
        <v>49</v>
      </c>
      <c r="B39" s="7">
        <f>COUNTIF($A$6:$A$32,A39)</f>
        <v>9</v>
      </c>
      <c r="C39" s="7">
        <f>COUNTIFS($A$6:$A$32,A39,$D$6:$D$32,"☑ Complete")</f>
        <v>0</v>
      </c>
      <c r="D39" s="7">
        <f>COUNTIFS($A$6:$A$32,A39,$D$6:$D$32,"◐ In progress")</f>
        <v>0</v>
      </c>
      <c r="E39" s="7">
        <f>COUNTIFS($A$6:$A$32,A39,$D$6:$D$32,"⚠ Blocked")</f>
        <v>0</v>
      </c>
    </row>
  </sheetData>
  <mergeCells count="4">
    <mergeCell ref="A2:E2"/>
    <mergeCell ref="A1:E1"/>
    <mergeCell ref="A35:E35"/>
    <mergeCell ref="A3:E3"/>
  </mergeCells>
  <conditionalFormatting sqref="D6:D32">
    <cfRule type="expression" dxfId="2" priority="1">
      <formula>$D6="☑ Complete"</formula>
    </cfRule>
    <cfRule type="expression" dxfId="1" priority="2">
      <formula>$D6="◐ In progress"</formula>
    </cfRule>
    <cfRule type="expression" dxfId="0" priority="3">
      <formula>$D6="⚠ Blocked"</formula>
    </cfRule>
  </conditionalFormatting>
  <dataValidations count="1">
    <dataValidation type="list" sqref="D6:D32" xr:uid="{00000000-0002-0000-00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&amp;L_x000D_&amp;1#&amp;"Aptos"&amp;10&amp;KFF0000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4" customWidth="1"/>
    <col min="2" max="2" width="26" customWidth="1"/>
    <col min="3" max="3" width="18" customWidth="1"/>
    <col min="4" max="4" width="42" customWidth="1"/>
  </cols>
  <sheetData>
    <row r="1" spans="1:4" ht="32" customHeight="1" x14ac:dyDescent="0.6">
      <c r="A1" s="14" t="s">
        <v>74</v>
      </c>
      <c r="B1" s="10"/>
      <c r="C1" s="10"/>
      <c r="D1" s="10"/>
    </row>
    <row r="2" spans="1:4" x14ac:dyDescent="0.35">
      <c r="A2" s="15" t="s">
        <v>75</v>
      </c>
      <c r="B2" s="10"/>
      <c r="C2" s="10"/>
      <c r="D2" s="10"/>
    </row>
    <row r="4" spans="1:4" x14ac:dyDescent="0.35">
      <c r="A4" s="8" t="s">
        <v>76</v>
      </c>
      <c r="B4" s="8" t="s">
        <v>77</v>
      </c>
      <c r="C4" s="8" t="s">
        <v>6</v>
      </c>
      <c r="D4" s="8" t="s">
        <v>78</v>
      </c>
    </row>
    <row r="5" spans="1:4" ht="40" customHeight="1" x14ac:dyDescent="0.35">
      <c r="A5" s="3" t="s">
        <v>79</v>
      </c>
      <c r="B5" s="3" t="s">
        <v>80</v>
      </c>
      <c r="C5" s="3" t="s">
        <v>11</v>
      </c>
      <c r="D5" s="3"/>
    </row>
    <row r="6" spans="1:4" ht="40" customHeight="1" x14ac:dyDescent="0.35">
      <c r="A6" s="3" t="s">
        <v>81</v>
      </c>
      <c r="B6" s="3" t="s">
        <v>82</v>
      </c>
      <c r="C6" s="3" t="s">
        <v>11</v>
      </c>
      <c r="D6" s="3"/>
    </row>
    <row r="7" spans="1:4" ht="40" customHeight="1" x14ac:dyDescent="0.35">
      <c r="A7" s="3" t="s">
        <v>83</v>
      </c>
      <c r="B7" s="3" t="s">
        <v>84</v>
      </c>
      <c r="C7" s="3" t="s">
        <v>11</v>
      </c>
      <c r="D7" s="3"/>
    </row>
    <row r="8" spans="1:4" ht="40" customHeight="1" x14ac:dyDescent="0.35">
      <c r="A8" s="3" t="s">
        <v>85</v>
      </c>
      <c r="B8" s="3" t="s">
        <v>86</v>
      </c>
      <c r="C8" s="3" t="s">
        <v>11</v>
      </c>
      <c r="D8" s="3"/>
    </row>
    <row r="9" spans="1:4" ht="40" customHeight="1" x14ac:dyDescent="0.35">
      <c r="A9" s="3" t="s">
        <v>87</v>
      </c>
      <c r="B9" s="3" t="s">
        <v>88</v>
      </c>
      <c r="C9" s="3" t="s">
        <v>11</v>
      </c>
      <c r="D9" s="3"/>
    </row>
    <row r="10" spans="1:4" ht="40" customHeight="1" x14ac:dyDescent="0.35">
      <c r="A10" s="3" t="s">
        <v>89</v>
      </c>
      <c r="B10" s="3" t="s">
        <v>88</v>
      </c>
      <c r="C10" s="3" t="s">
        <v>11</v>
      </c>
      <c r="D10" s="3"/>
    </row>
    <row r="11" spans="1:4" ht="40" customHeight="1" x14ac:dyDescent="0.35">
      <c r="A11" s="3" t="s">
        <v>90</v>
      </c>
      <c r="B11" s="3" t="s">
        <v>88</v>
      </c>
      <c r="C11" s="3" t="s">
        <v>11</v>
      </c>
      <c r="D11" s="3"/>
    </row>
    <row r="12" spans="1:4" ht="40" customHeight="1" x14ac:dyDescent="0.35">
      <c r="A12" s="3" t="s">
        <v>91</v>
      </c>
      <c r="B12" s="3" t="s">
        <v>92</v>
      </c>
      <c r="C12" s="3" t="s">
        <v>11</v>
      </c>
      <c r="D12" s="3"/>
    </row>
    <row r="13" spans="1:4" ht="40" customHeight="1" x14ac:dyDescent="0.35">
      <c r="A13" s="3" t="s">
        <v>93</v>
      </c>
      <c r="B13" s="3" t="s">
        <v>86</v>
      </c>
      <c r="C13" s="3" t="s">
        <v>11</v>
      </c>
      <c r="D13" s="3"/>
    </row>
    <row r="14" spans="1:4" ht="40" customHeight="1" x14ac:dyDescent="0.35">
      <c r="A14" s="3" t="s">
        <v>94</v>
      </c>
      <c r="B14" s="3" t="s">
        <v>95</v>
      </c>
      <c r="C14" s="3" t="s">
        <v>11</v>
      </c>
      <c r="D14" s="3"/>
    </row>
    <row r="15" spans="1:4" ht="40" customHeight="1" x14ac:dyDescent="0.35">
      <c r="A15" s="3" t="s">
        <v>96</v>
      </c>
      <c r="B15" s="3" t="s">
        <v>97</v>
      </c>
      <c r="C15" s="3" t="s">
        <v>11</v>
      </c>
      <c r="D15" s="3"/>
    </row>
    <row r="16" spans="1:4" ht="40" customHeight="1" x14ac:dyDescent="0.35">
      <c r="A16" s="3" t="s">
        <v>98</v>
      </c>
      <c r="B16" s="3" t="s">
        <v>95</v>
      </c>
      <c r="C16" s="3" t="s">
        <v>11</v>
      </c>
      <c r="D16" s="3"/>
    </row>
  </sheetData>
  <autoFilter ref="A4:D16" xr:uid="{00000000-0009-0000-0000-000001000000}"/>
  <mergeCells count="2">
    <mergeCell ref="A1:D1"/>
    <mergeCell ref="A2:D2"/>
  </mergeCells>
  <dataValidations count="1">
    <dataValidation type="list" sqref="C5:C16" xr:uid="{00000000-0002-0000-01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&amp;L_x000D_&amp;1#&amp;"Aptos"&amp;10&amp;KFF0000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DF3016A12E84191BBD3034F66A747" ma:contentTypeVersion="8" ma:contentTypeDescription="Create a new document." ma:contentTypeScope="" ma:versionID="b7b957fde0967ba7b28c96f35bf80653">
  <xsd:schema xmlns:xsd="http://www.w3.org/2001/XMLSchema" xmlns:xs="http://www.w3.org/2001/XMLSchema" xmlns:p="http://schemas.microsoft.com/office/2006/metadata/properties" xmlns:ns2="d64c8698-aed8-482d-9c0d-22767eb66ced" targetNamespace="http://schemas.microsoft.com/office/2006/metadata/properties" ma:root="true" ma:fieldsID="d7893930a03f3cab47217cac3f6a2b3d" ns2:_="">
    <xsd:import namespace="d64c8698-aed8-482d-9c0d-22767eb66c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8698-aed8-482d-9c0d-22767eb66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4c8698-aed8-482d-9c0d-22767eb66c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E1D550-B84D-491A-837D-25EF344BF4FB}"/>
</file>

<file path=customXml/itemProps2.xml><?xml version="1.0" encoding="utf-8"?>
<ds:datastoreItem xmlns:ds="http://schemas.openxmlformats.org/officeDocument/2006/customXml" ds:itemID="{C52B4B87-E561-4A26-B531-60E3B97758FA}"/>
</file>

<file path=customXml/itemProps3.xml><?xml version="1.0" encoding="utf-8"?>
<ds:datastoreItem xmlns:ds="http://schemas.openxmlformats.org/officeDocument/2006/customXml" ds:itemID="{0F8139B3-66F9-4879-9084-9BA51E577B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 4 Checklist</vt:lpstr>
      <vt:lpstr>Team Deliverables</vt:lpstr>
      <vt:lpstr>'Week 4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D Week 4 Checklist</dc:title>
  <dc:subject>Week 4 modelling, analysis and report drafting checklist</dc:subject>
  <dc:creator>Bel Zhou</dc:creator>
  <cp:lastModifiedBy>Bel Zhou</cp:lastModifiedBy>
  <dcterms:created xsi:type="dcterms:W3CDTF">2026-09-18T11:55:55Z</dcterms:created>
  <dcterms:modified xsi:type="dcterms:W3CDTF">2026-09-18T12:01:29Z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2026-09-18T12:01:00Z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c3813c4b-6e54-4719-94a0-f6134a658450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  <property fmtid="{D5CDD505-2E9C-101B-9397-08002B2CF9AE}" pid="10" name="ContentTypeId">
    <vt:lpwstr>0x010100481DF3016A12E84191BBD3034F66A747</vt:lpwstr>
  </property>
</Properties>
</file>