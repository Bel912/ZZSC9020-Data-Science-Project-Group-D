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"/>
    </mc:Choice>
  </mc:AlternateContent>
  <xr:revisionPtr revIDLastSave="0" documentId="8_{F9BCB83E-690B-419D-AD2E-917BE61CE4E2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Week 5 Checklist" sheetId="1" r:id="rId1"/>
    <sheet name="Week 6 Checklist" sheetId="2" r:id="rId2"/>
    <sheet name="Milestones" sheetId="3" r:id="rId3"/>
  </sheets>
  <definedNames>
    <definedName name="_xlnm._FilterDatabase" localSheetId="2" hidden="1">Milestones!$A$4:$E$11</definedName>
    <definedName name="_xlnm.Print_Titles" localSheetId="0">'Week 5 Checklist'!$1:$5</definedName>
    <definedName name="_xlnm.Print_Titles" localSheetId="1">'Week 6 Checklist'!$1:$5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D31" i="2"/>
  <c r="C31" i="2"/>
  <c r="B31" i="2"/>
  <c r="E30" i="2"/>
  <c r="D30" i="2"/>
  <c r="C30" i="2"/>
  <c r="B30" i="2"/>
  <c r="F30" i="2" s="1"/>
  <c r="E29" i="2"/>
  <c r="D29" i="2"/>
  <c r="C29" i="2"/>
  <c r="B29" i="2"/>
  <c r="E30" i="1"/>
  <c r="D30" i="1"/>
  <c r="C30" i="1"/>
  <c r="B30" i="1"/>
  <c r="F30" i="1" s="1"/>
  <c r="E29" i="1"/>
  <c r="D29" i="1"/>
  <c r="C29" i="1"/>
  <c r="B29" i="1"/>
  <c r="F29" i="1" s="1"/>
  <c r="E28" i="1"/>
  <c r="D28" i="1"/>
  <c r="C28" i="1"/>
  <c r="B28" i="1"/>
  <c r="F28" i="1" s="1"/>
  <c r="F29" i="2" l="1"/>
  <c r="F31" i="2"/>
</calcChain>
</file>

<file path=xl/sharedStrings.xml><?xml version="1.0" encoding="utf-8"?>
<sst xmlns="http://schemas.openxmlformats.org/spreadsheetml/2006/main" count="302" uniqueCount="131">
  <si>
    <t>Week 5 Checklist</t>
  </si>
  <si>
    <t>Group D - Week 5 Checklist</t>
  </si>
  <si>
    <t>Focus: refine models, communicate findings through clear tables and figures, and complete the first full report draft.</t>
  </si>
  <si>
    <t>Team Member</t>
  </si>
  <si>
    <t>Role / Focus</t>
  </si>
  <si>
    <t>Week 5 Task</t>
  </si>
  <si>
    <t>Due Date</t>
  </si>
  <si>
    <t>Status</t>
  </si>
  <si>
    <t>Notes / Evidence</t>
  </si>
  <si>
    <t>Bel Zhou</t>
  </si>
  <si>
    <t>Data Engineer / Researcher</t>
  </si>
  <si>
    <t>Complete the Week 5 reporting and visualisation learning activities.</t>
  </si>
  <si>
    <t>2 Oct 2026</t>
  </si>
  <si>
    <t>☐ Not started</t>
  </si>
  <si>
    <t>Apply the guidance on report structure, tables, figures and client-focused reporting.</t>
  </si>
  <si>
    <t>Finalise the modelling dataset and resolve outstanding data-quality treatments.</t>
  </si>
  <si>
    <t>Document treatment of missing PV and weather values and freeze the analysis version.</t>
  </si>
  <si>
    <t>Prepare publication-ready data, EDA and model-result figures.</t>
  </si>
  <si>
    <t>4 Oct 2026</t>
  </si>
  <si>
    <t>Use consistent colours, units, titles, captions and accessible labels.</t>
  </si>
  <si>
    <t>Prepare report-ready tables for dataset quality, descriptive statistics and feature definitions.</t>
  </si>
  <si>
    <t>Keep tables concise and link each table to a research question.</t>
  </si>
  <si>
    <t>Complete the Data Description, Data Processing, Feature Engineering and EDA report sections.</t>
  </si>
  <si>
    <t>5 Oct 2026</t>
  </si>
  <si>
    <t>Incorporate limitations of daily Sydney Airport weather data.</t>
  </si>
  <si>
    <t>Review reproducibility and organise final analysis files in GitHub.</t>
  </si>
  <si>
    <t>Check scripts, filenames, folders, README instructions and processed-data sample.</t>
  </si>
  <si>
    <t>Anders Appel</t>
  </si>
  <si>
    <t>Data Engineer / Analyst</t>
  </si>
  <si>
    <t>Refine the OLS or selected statistical model using Week 4 diagnostics.</t>
  </si>
  <si>
    <t>Address residual behaviour, autocorrelation, heteroscedasticity and multicollinearity.</t>
  </si>
  <si>
    <t>Run and evaluate the machine-learning benchmark, if feasible.</t>
  </si>
  <si>
    <t>3 Oct 2026</t>
  </si>
  <si>
    <t>Compare a tree-based or other justified benchmark against the transparent baseline.</t>
  </si>
  <si>
    <t>Complete chronological validation and final model comparison.</t>
  </si>
  <si>
    <t>Report MAE, RMSE, R-squared where appropriate, and validation-period stability.</t>
  </si>
  <si>
    <t>Quantify and interpret PV effects by time of day, season and weather.</t>
  </si>
  <si>
    <t>Provide effect sizes, uncertainty and clear links to Q1 and Q2.</t>
  </si>
  <si>
    <t>Assess whether PV-enhanced models improve prediction beyond the baseline.</t>
  </si>
  <si>
    <t>Directly address Q3 using out-of-sample metrics.</t>
  </si>
  <si>
    <t>Write the Methods and Results sections and provide reproducible outputs.</t>
  </si>
  <si>
    <t>Include model specifications, assumptions, diagnostics, tables and figure references.</t>
  </si>
  <si>
    <t>William Sivieng</t>
  </si>
  <si>
    <t>Project Lead</t>
  </si>
  <si>
    <t>Complete the Week 5 reporting learning activities and confirm the intended report audience.</t>
  </si>
  <si>
    <t>Apply client-focused structure and non-technical communication principles.</t>
  </si>
  <si>
    <t>Combine all report sections into the first complete group report draft.</t>
  </si>
  <si>
    <t>Ensure the draft includes all required sections and references.</t>
  </si>
  <si>
    <t>Review workload allocation and reassign tasks where needed.</t>
  </si>
  <si>
    <t>Keep report, modelling and presentation work balanced across the team.</t>
  </si>
  <si>
    <t>Edit the Introduction, Literature Review and project framing.</t>
  </si>
  <si>
    <t>Ensure the research gap, objectives and success criteria remain clear.</t>
  </si>
  <si>
    <t>Coordinate peer review of all tables, figures and analytical claims.</t>
  </si>
  <si>
    <t>Confirm every major output is reviewed by another member.</t>
  </si>
  <si>
    <t>Create the Week 6 report finalisation and presentation production plan.</t>
  </si>
  <si>
    <t>Assign slide, script, recording, editing and quality-assurance owners.</t>
  </si>
  <si>
    <t>Current Status Summary</t>
  </si>
  <si>
    <t>Total Tasks</t>
  </si>
  <si>
    <t>Complete</t>
  </si>
  <si>
    <t>In Progress</t>
  </si>
  <si>
    <t>Blocked</t>
  </si>
  <si>
    <t>Completion %</t>
  </si>
  <si>
    <t>Week 6 Checklist</t>
  </si>
  <si>
    <t>Group D - Week 6 Checklist</t>
  </si>
  <si>
    <t>Focus: finalise the report by 8 October 2026 and complete the video presentation by 9 October 2026.</t>
  </si>
  <si>
    <t>Week 6 Task</t>
  </si>
  <si>
    <t>Complete the Week 6 presenting learning activities.</t>
  </si>
  <si>
    <t>6 Oct 2026</t>
  </si>
  <si>
    <t>Focus on presenting to non-technical audiences, key messages and audience engagement.</t>
  </si>
  <si>
    <t>Finalise all report figures, tables, captions and appendices.</t>
  </si>
  <si>
    <t>7 Oct 2026</t>
  </si>
  <si>
    <t>Check consistency, readability, numbering and cross-references.</t>
  </si>
  <si>
    <t>Complete final data and code reproducibility checks.</t>
  </si>
  <si>
    <t>Confirm the analysis can be rerun from documented inputs and scripts.</t>
  </si>
  <si>
    <t>Proofread the Data, EDA and Feature Engineering sections.</t>
  </si>
  <si>
    <t>Correct terminology, units, limitations and factual consistency.</t>
  </si>
  <si>
    <t>Prepare presentation visuals and concise explanations for data and EDA findings.</t>
  </si>
  <si>
    <t>8 Oct 2026</t>
  </si>
  <si>
    <t>Translate technical results into clear messages for a non-technical audience.</t>
  </si>
  <si>
    <t>Complete final GitHub organisation and archive submission-ready outputs.</t>
  </si>
  <si>
    <t>9 Oct 2026</t>
  </si>
  <si>
    <t>Ensure final report, code, figures and supporting documentation are clearly located.</t>
  </si>
  <si>
    <t>Freeze final model specifications and regenerate all model outputs.</t>
  </si>
  <si>
    <t>Ensure report tables and figures match the final code and dataset.</t>
  </si>
  <si>
    <t>Complete final diagnostics, sensitivity checks and limitations.</t>
  </si>
  <si>
    <t>Document uncertainty and any findings that are not robust.</t>
  </si>
  <si>
    <t>Proofread the Methods and Results sections.</t>
  </si>
  <si>
    <t>Ensure model claims accurately distinguish explanation, inference and prediction.</t>
  </si>
  <si>
    <t>Prepare presentation slides and script for modelling and results.</t>
  </si>
  <si>
    <t>Explain key effect sizes and model performance without unnecessary technical detail.</t>
  </si>
  <si>
    <t>Complete a final numerical consistency check across report, slides and script.</t>
  </si>
  <si>
    <t>Confirm coefficients, metrics, dates and sample sizes agree everywhere.</t>
  </si>
  <si>
    <t>Participate in the full presentation rehearsal and final recording.</t>
  </si>
  <si>
    <t>Address timing, handovers, audio and clarity issues.</t>
  </si>
  <si>
    <t>Confirm the presentation key message and narrative for a non-technical audience.</t>
  </si>
  <si>
    <t>Keep the story centred on the research questions and practical significance.</t>
  </si>
  <si>
    <t>Coordinate final report editing, references, formatting and contribution statements.</t>
  </si>
  <si>
    <t>Ensure one consistent voice and compliance with assessment requirements.</t>
  </si>
  <si>
    <t>Complete final peer review and approve the report for completion.</t>
  </si>
  <si>
    <t>Target: report fully completed by 8 October 2026.</t>
  </si>
  <si>
    <t>Build and integrate the complete presentation deck.</t>
  </si>
  <si>
    <t>Use a clear opening, methods overview, key findings, limitations and conclusion.</t>
  </si>
  <si>
    <t>Coordinate scripts, speaking allocations and handovers.</t>
  </si>
  <si>
    <t>Balance speaking time and make responsibilities explicit.</t>
  </si>
  <si>
    <t>Lead a timed rehearsal and coordinate final video recording and editing.</t>
  </si>
  <si>
    <t>Target: video presentation fully completed by 9 October 2026.</t>
  </si>
  <si>
    <t>Run final submission-readiness checks for report and video files.</t>
  </si>
  <si>
    <t>Check filenames, formats, playback, permissions and backup copies.</t>
  </si>
  <si>
    <t>Weeks 5–6 Milestones</t>
  </si>
  <si>
    <t>Internal completion targets for the Group Report and Video Presentation</t>
  </si>
  <si>
    <t>Milestone</t>
  </si>
  <si>
    <t>Target Date</t>
  </si>
  <si>
    <t>Owner</t>
  </si>
  <si>
    <t>Completion Evidence</t>
  </si>
  <si>
    <t>First complete report draft</t>
  </si>
  <si>
    <t>William / All</t>
  </si>
  <si>
    <t>All sections combined and available for peer review</t>
  </si>
  <si>
    <t>Final analysis outputs frozen</t>
  </si>
  <si>
    <t>Anders / Bel</t>
  </si>
  <si>
    <t>Final dataset, code, metrics, figures and model tables</t>
  </si>
  <si>
    <t>Final report peer review complete</t>
  </si>
  <si>
    <t>All</t>
  </si>
  <si>
    <t>Comments resolved and numerical consistency confirmed</t>
  </si>
  <si>
    <t>Group report completed</t>
  </si>
  <si>
    <t>Final report approved and saved in submission-ready format</t>
  </si>
  <si>
    <t>Presentation deck and scripts completed</t>
  </si>
  <si>
    <t>Final slides, scripts and speaking allocations</t>
  </si>
  <si>
    <t>Video presentation completed</t>
  </si>
  <si>
    <t>Final video reviewed for content, timing, audio and playback</t>
  </si>
  <si>
    <t>Video upload practice / submission check</t>
  </si>
  <si>
    <t>Upload process checked and backup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</si>
</sst>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i/>
      <sz val="10"/>
      <color rgb="FF64748B"/>
      <name val="Aptos"/>
    </font>
    <font>
      <b/>
      <sz val="11"/>
      <color rgb="FFFFFFFF"/>
      <name val="Aptos"/>
    </font>
    <font>
      <sz val="10"/>
      <color rgb="FF1F2937"/>
      <name val="Aptos"/>
    </font>
    <font>
      <b/>
      <sz val="12"/>
      <color rgb="FFFFFFFF"/>
      <name val="Aptos"/>
    </font>
    <font>
      <b/>
      <sz val="11"/>
      <color rgb="FF17365D"/>
      <name val="Aptos"/>
    </font>
    <font>
      <i/>
      <sz val="11"/>
      <color rgb="FF64748B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0A6A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/>
    <xf numFmtId="0" fontId="2" fillId="0" borderId="0" xfId="0" applyFont="1"/>
    <xf numFmtId="0" fontId="6" fillId="4" borderId="0" xfId="0" applyFont="1" applyFill="1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5Tasks" displayName="Week5Tasks" ref="A5:F23">
  <autoFilter ref="A5:F23" xr:uid="{00000000-0009-0000-0100-000001000000}"/>
  <tableColumns count="6">
    <tableColumn id="1" xr3:uid="{00000000-0010-0000-0000-000001000000}" name="Team Member"/>
    <tableColumn id="2" xr3:uid="{00000000-0010-0000-0000-000002000000}" name="Role / Focus"/>
    <tableColumn id="3" xr3:uid="{00000000-0010-0000-0000-000003000000}" name="Week 5 Task"/>
    <tableColumn id="4" xr3:uid="{00000000-0010-0000-0000-000004000000}" name="Due Date"/>
    <tableColumn id="5" xr3:uid="{00000000-0010-0000-0000-000005000000}" name="Status"/>
    <tableColumn id="6" xr3:uid="{00000000-0010-0000-0000-000006000000}" name="Notes /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6Tasks" displayName="Week6Tasks" ref="A5:F24">
  <autoFilter ref="A5:F24" xr:uid="{00000000-0009-0000-0100-000002000000}"/>
  <tableColumns count="6">
    <tableColumn id="1" xr3:uid="{00000000-0010-0000-0100-000001000000}" name="Team Member"/>
    <tableColumn id="2" xr3:uid="{00000000-0010-0000-0100-000002000000}" name="Role / Focus"/>
    <tableColumn id="3" xr3:uid="{00000000-0010-0000-0100-000003000000}" name="Week 6 Task"/>
    <tableColumn id="4" xr3:uid="{00000000-0010-0000-0100-000004000000}" name="Due Date"/>
    <tableColumn id="5" xr3:uid="{00000000-0010-0000-0100-000005000000}" name="Status"/>
    <tableColumn id="6" xr3:uid="{00000000-0010-0000-0100-000006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F30"/>
  <sheetViews>
    <sheetView showGridLines="0" tabSelected="1" workbookViewId="0">
      <pane ySplit="5" topLeftCell="A6" activePane="bottomLeft" state="frozen"/>
      <selection pane="bottomLeft" activeCell="I6" sqref="I6"/>
    </sheetView>
  </sheetViews>
  <sheetFormatPr defaultRowHeight="14.5" x14ac:dyDescent="0.35"/>
  <cols>
    <col min="1" max="1" width="22" customWidth="1"/>
    <col min="2" max="2" width="28" customWidth="1"/>
    <col min="3" max="3" width="68" customWidth="1"/>
    <col min="4" max="4" width="15" customWidth="1"/>
    <col min="5" max="5" width="18" customWidth="1"/>
    <col min="6" max="6" width="48" customWidth="1"/>
  </cols>
  <sheetData>
    <row r="1" spans="1:6" ht="34" customHeight="1" x14ac:dyDescent="0.65">
      <c r="A1" s="16" t="s">
        <v>0</v>
      </c>
      <c r="B1" s="13"/>
      <c r="C1" s="13"/>
      <c r="D1" s="13"/>
      <c r="E1" s="13"/>
      <c r="F1" s="13"/>
    </row>
    <row r="2" spans="1:6" ht="16" x14ac:dyDescent="0.4">
      <c r="A2" s="14" t="s">
        <v>1</v>
      </c>
      <c r="B2" s="13"/>
      <c r="C2" s="13"/>
      <c r="D2" s="13"/>
      <c r="E2" s="13"/>
      <c r="F2" s="13"/>
    </row>
    <row r="3" spans="1:6" ht="28" customHeight="1" x14ac:dyDescent="0.35">
      <c r="A3" s="12" t="s">
        <v>2</v>
      </c>
      <c r="B3" s="13"/>
      <c r="C3" s="13"/>
      <c r="D3" s="13"/>
      <c r="E3" s="13"/>
      <c r="F3" s="13"/>
    </row>
    <row r="5" spans="1:6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48" customHeight="1" x14ac:dyDescent="0.35">
      <c r="A6" s="2" t="s">
        <v>9</v>
      </c>
      <c r="B6" s="2" t="s">
        <v>10</v>
      </c>
      <c r="C6" s="3" t="s">
        <v>11</v>
      </c>
      <c r="D6" s="4" t="s">
        <v>12</v>
      </c>
      <c r="E6" s="4" t="s">
        <v>13</v>
      </c>
      <c r="F6" s="3" t="s">
        <v>14</v>
      </c>
    </row>
    <row r="7" spans="1:6" ht="48" customHeight="1" x14ac:dyDescent="0.35">
      <c r="A7" s="2" t="s">
        <v>9</v>
      </c>
      <c r="B7" s="2" t="s">
        <v>10</v>
      </c>
      <c r="C7" s="3" t="s">
        <v>15</v>
      </c>
      <c r="D7" s="4" t="s">
        <v>12</v>
      </c>
      <c r="E7" s="4" t="s">
        <v>13</v>
      </c>
      <c r="F7" s="3" t="s">
        <v>16</v>
      </c>
    </row>
    <row r="8" spans="1:6" ht="48" customHeight="1" x14ac:dyDescent="0.35">
      <c r="A8" s="2" t="s">
        <v>9</v>
      </c>
      <c r="B8" s="2" t="s">
        <v>10</v>
      </c>
      <c r="C8" s="3" t="s">
        <v>17</v>
      </c>
      <c r="D8" s="4" t="s">
        <v>18</v>
      </c>
      <c r="E8" s="4" t="s">
        <v>13</v>
      </c>
      <c r="F8" s="3" t="s">
        <v>19</v>
      </c>
    </row>
    <row r="9" spans="1:6" ht="48" customHeight="1" x14ac:dyDescent="0.35">
      <c r="A9" s="2" t="s">
        <v>9</v>
      </c>
      <c r="B9" s="2" t="s">
        <v>10</v>
      </c>
      <c r="C9" s="3" t="s">
        <v>20</v>
      </c>
      <c r="D9" s="4" t="s">
        <v>18</v>
      </c>
      <c r="E9" s="4" t="s">
        <v>13</v>
      </c>
      <c r="F9" s="3" t="s">
        <v>21</v>
      </c>
    </row>
    <row r="10" spans="1:6" ht="48" customHeight="1" x14ac:dyDescent="0.35">
      <c r="A10" s="2" t="s">
        <v>9</v>
      </c>
      <c r="B10" s="2" t="s">
        <v>10</v>
      </c>
      <c r="C10" s="3" t="s">
        <v>22</v>
      </c>
      <c r="D10" s="4" t="s">
        <v>23</v>
      </c>
      <c r="E10" s="4" t="s">
        <v>13</v>
      </c>
      <c r="F10" s="3" t="s">
        <v>24</v>
      </c>
    </row>
    <row r="11" spans="1:6" ht="48" customHeight="1" x14ac:dyDescent="0.35">
      <c r="A11" s="2" t="s">
        <v>9</v>
      </c>
      <c r="B11" s="2" t="s">
        <v>10</v>
      </c>
      <c r="C11" s="3" t="s">
        <v>25</v>
      </c>
      <c r="D11" s="4" t="s">
        <v>23</v>
      </c>
      <c r="E11" s="4" t="s">
        <v>13</v>
      </c>
      <c r="F11" s="3" t="s">
        <v>26</v>
      </c>
    </row>
    <row r="12" spans="1:6" ht="48" customHeight="1" x14ac:dyDescent="0.35">
      <c r="A12" s="2" t="s">
        <v>27</v>
      </c>
      <c r="B12" s="2" t="s">
        <v>28</v>
      </c>
      <c r="C12" s="3" t="s">
        <v>29</v>
      </c>
      <c r="D12" s="4" t="s">
        <v>12</v>
      </c>
      <c r="E12" s="4" t="s">
        <v>13</v>
      </c>
      <c r="F12" s="3" t="s">
        <v>30</v>
      </c>
    </row>
    <row r="13" spans="1:6" ht="48" customHeight="1" x14ac:dyDescent="0.35">
      <c r="A13" s="2" t="s">
        <v>27</v>
      </c>
      <c r="B13" s="2" t="s">
        <v>28</v>
      </c>
      <c r="C13" s="3" t="s">
        <v>31</v>
      </c>
      <c r="D13" s="4" t="s">
        <v>32</v>
      </c>
      <c r="E13" s="4" t="s">
        <v>13</v>
      </c>
      <c r="F13" s="3" t="s">
        <v>33</v>
      </c>
    </row>
    <row r="14" spans="1:6" ht="48" customHeight="1" x14ac:dyDescent="0.35">
      <c r="A14" s="2" t="s">
        <v>27</v>
      </c>
      <c r="B14" s="2" t="s">
        <v>28</v>
      </c>
      <c r="C14" s="3" t="s">
        <v>34</v>
      </c>
      <c r="D14" s="4" t="s">
        <v>18</v>
      </c>
      <c r="E14" s="4" t="s">
        <v>13</v>
      </c>
      <c r="F14" s="3" t="s">
        <v>35</v>
      </c>
    </row>
    <row r="15" spans="1:6" ht="48" customHeight="1" x14ac:dyDescent="0.35">
      <c r="A15" s="2" t="s">
        <v>27</v>
      </c>
      <c r="B15" s="2" t="s">
        <v>28</v>
      </c>
      <c r="C15" s="3" t="s">
        <v>36</v>
      </c>
      <c r="D15" s="4" t="s">
        <v>18</v>
      </c>
      <c r="E15" s="4" t="s">
        <v>13</v>
      </c>
      <c r="F15" s="3" t="s">
        <v>37</v>
      </c>
    </row>
    <row r="16" spans="1:6" ht="48" customHeight="1" x14ac:dyDescent="0.35">
      <c r="A16" s="2" t="s">
        <v>27</v>
      </c>
      <c r="B16" s="2" t="s">
        <v>28</v>
      </c>
      <c r="C16" s="3" t="s">
        <v>38</v>
      </c>
      <c r="D16" s="4" t="s">
        <v>23</v>
      </c>
      <c r="E16" s="4" t="s">
        <v>13</v>
      </c>
      <c r="F16" s="3" t="s">
        <v>39</v>
      </c>
    </row>
    <row r="17" spans="1:6" ht="48" customHeight="1" x14ac:dyDescent="0.35">
      <c r="A17" s="2" t="s">
        <v>27</v>
      </c>
      <c r="B17" s="2" t="s">
        <v>28</v>
      </c>
      <c r="C17" s="3" t="s">
        <v>40</v>
      </c>
      <c r="D17" s="4" t="s">
        <v>23</v>
      </c>
      <c r="E17" s="4" t="s">
        <v>13</v>
      </c>
      <c r="F17" s="3" t="s">
        <v>41</v>
      </c>
    </row>
    <row r="18" spans="1:6" ht="48" customHeight="1" x14ac:dyDescent="0.35">
      <c r="A18" s="2" t="s">
        <v>42</v>
      </c>
      <c r="B18" s="2" t="s">
        <v>43</v>
      </c>
      <c r="C18" s="3" t="s">
        <v>44</v>
      </c>
      <c r="D18" s="4" t="s">
        <v>12</v>
      </c>
      <c r="E18" s="4" t="s">
        <v>13</v>
      </c>
      <c r="F18" s="3" t="s">
        <v>45</v>
      </c>
    </row>
    <row r="19" spans="1:6" ht="48" customHeight="1" x14ac:dyDescent="0.35">
      <c r="A19" s="2" t="s">
        <v>42</v>
      </c>
      <c r="B19" s="2" t="s">
        <v>43</v>
      </c>
      <c r="C19" s="3" t="s">
        <v>46</v>
      </c>
      <c r="D19" s="4" t="s">
        <v>23</v>
      </c>
      <c r="E19" s="4" t="s">
        <v>13</v>
      </c>
      <c r="F19" s="3" t="s">
        <v>47</v>
      </c>
    </row>
    <row r="20" spans="1:6" ht="48" customHeight="1" x14ac:dyDescent="0.35">
      <c r="A20" s="2" t="s">
        <v>42</v>
      </c>
      <c r="B20" s="2" t="s">
        <v>43</v>
      </c>
      <c r="C20" s="3" t="s">
        <v>48</v>
      </c>
      <c r="D20" s="4" t="s">
        <v>12</v>
      </c>
      <c r="E20" s="4" t="s">
        <v>13</v>
      </c>
      <c r="F20" s="3" t="s">
        <v>49</v>
      </c>
    </row>
    <row r="21" spans="1:6" ht="48" customHeight="1" x14ac:dyDescent="0.35">
      <c r="A21" s="2" t="s">
        <v>42</v>
      </c>
      <c r="B21" s="2" t="s">
        <v>43</v>
      </c>
      <c r="C21" s="3" t="s">
        <v>50</v>
      </c>
      <c r="D21" s="4" t="s">
        <v>18</v>
      </c>
      <c r="E21" s="4" t="s">
        <v>13</v>
      </c>
      <c r="F21" s="3" t="s">
        <v>51</v>
      </c>
    </row>
    <row r="22" spans="1:6" ht="48" customHeight="1" x14ac:dyDescent="0.35">
      <c r="A22" s="2" t="s">
        <v>42</v>
      </c>
      <c r="B22" s="2" t="s">
        <v>43</v>
      </c>
      <c r="C22" s="3" t="s">
        <v>52</v>
      </c>
      <c r="D22" s="4" t="s">
        <v>23</v>
      </c>
      <c r="E22" s="4" t="s">
        <v>13</v>
      </c>
      <c r="F22" s="3" t="s">
        <v>53</v>
      </c>
    </row>
    <row r="23" spans="1:6" ht="48" customHeight="1" x14ac:dyDescent="0.35">
      <c r="A23" s="2" t="s">
        <v>42</v>
      </c>
      <c r="B23" s="2" t="s">
        <v>43</v>
      </c>
      <c r="C23" s="3" t="s">
        <v>54</v>
      </c>
      <c r="D23" s="4" t="s">
        <v>23</v>
      </c>
      <c r="E23" s="4" t="s">
        <v>13</v>
      </c>
      <c r="F23" s="3" t="s">
        <v>55</v>
      </c>
    </row>
    <row r="26" spans="1:6" ht="16" x14ac:dyDescent="0.4">
      <c r="A26" s="15" t="s">
        <v>56</v>
      </c>
      <c r="B26" s="13"/>
      <c r="C26" s="13"/>
      <c r="D26" s="13"/>
      <c r="E26" s="13"/>
      <c r="F26" s="13"/>
    </row>
    <row r="27" spans="1:6" x14ac:dyDescent="0.35">
      <c r="A27" s="5" t="s">
        <v>3</v>
      </c>
      <c r="B27" s="5" t="s">
        <v>57</v>
      </c>
      <c r="C27" s="5" t="s">
        <v>58</v>
      </c>
      <c r="D27" s="5" t="s">
        <v>59</v>
      </c>
      <c r="E27" s="5" t="s">
        <v>60</v>
      </c>
      <c r="F27" s="5" t="s">
        <v>61</v>
      </c>
    </row>
    <row r="28" spans="1:6" x14ac:dyDescent="0.35">
      <c r="A28" s="6" t="s">
        <v>9</v>
      </c>
      <c r="B28" s="7">
        <f>COUNTIF($A$6:$A$23,A28)</f>
        <v>6</v>
      </c>
      <c r="C28" s="7">
        <f>COUNTIFS($A$6:$A$23,A28,$E$6:$E$23,"☑ Complete")</f>
        <v>0</v>
      </c>
      <c r="D28" s="7">
        <f>COUNTIFS($A$6:$A$23,A28,$E$6:$E$23,"◐ In progress")</f>
        <v>0</v>
      </c>
      <c r="E28" s="7">
        <f>COUNTIFS($A$6:$A$23,A28,$E$6:$E$23,"⚠ Blocked")</f>
        <v>0</v>
      </c>
      <c r="F28" s="8">
        <f>IF(B28=0,0,C28/B28)</f>
        <v>0</v>
      </c>
    </row>
    <row r="29" spans="1:6" x14ac:dyDescent="0.35">
      <c r="A29" s="6" t="s">
        <v>27</v>
      </c>
      <c r="B29" s="7">
        <f>COUNTIF($A$6:$A$23,A29)</f>
        <v>6</v>
      </c>
      <c r="C29" s="7">
        <f>COUNTIFS($A$6:$A$23,A29,$E$6:$E$23,"☑ Complete")</f>
        <v>0</v>
      </c>
      <c r="D29" s="7">
        <f>COUNTIFS($A$6:$A$23,A29,$E$6:$E$23,"◐ In progress")</f>
        <v>0</v>
      </c>
      <c r="E29" s="7">
        <f>COUNTIFS($A$6:$A$23,A29,$E$6:$E$23,"⚠ Blocked")</f>
        <v>0</v>
      </c>
      <c r="F29" s="8">
        <f>IF(B29=0,0,C29/B29)</f>
        <v>0</v>
      </c>
    </row>
    <row r="30" spans="1:6" x14ac:dyDescent="0.35">
      <c r="A30" s="6" t="s">
        <v>42</v>
      </c>
      <c r="B30" s="7">
        <f>COUNTIF($A$6:$A$23,A30)</f>
        <v>6</v>
      </c>
      <c r="C30" s="7">
        <f>COUNTIFS($A$6:$A$23,A30,$E$6:$E$23,"☑ Complete")</f>
        <v>0</v>
      </c>
      <c r="D30" s="7">
        <f>COUNTIFS($A$6:$A$23,A30,$E$6:$E$23,"◐ In progress")</f>
        <v>0</v>
      </c>
      <c r="E30" s="7">
        <f>COUNTIFS($A$6:$A$23,A30,$E$6:$E$23,"⚠ Blocked")</f>
        <v>0</v>
      </c>
      <c r="F30" s="8">
        <f>IF(B30=0,0,C30/B30)</f>
        <v>0</v>
      </c>
    </row>
  </sheetData>
  <mergeCells count="4">
    <mergeCell ref="A3:F3"/>
    <mergeCell ref="A2:F2"/>
    <mergeCell ref="A26:F26"/>
    <mergeCell ref="A1:F1"/>
  </mergeCells>
  <conditionalFormatting sqref="E6:E23">
    <cfRule type="expression" dxfId="5" priority="1">
      <formula>$E6="☑ Complete"</formula>
    </cfRule>
    <cfRule type="expression" dxfId="4" priority="2">
      <formula>$E6="◐ In progress"</formula>
    </cfRule>
    <cfRule type="expression" dxfId="3" priority="3">
      <formula>$E6="⚠ Blocked"</formula>
    </cfRule>
  </conditionalFormatting>
  <dataValidations count="1">
    <dataValidation type="list" sqref="E6:E23" xr:uid="{00000000-0002-0000-0000-000000000000}">
      <formula1>"☐ Not started,◐ In progress,☑ Complete,⚠ Blocked"</formula1>
    </dataValidation>
  </dataValidations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F31"/>
  <sheetViews>
    <sheetView showGridLines="0" workbookViewId="0">
      <pane ySplit="5" topLeftCell="A6" activePane="bottomLeft" state="frozen"/>
      <selection pane="bottomLeft" sqref="A1:F1"/>
    </sheetView>
  </sheetViews>
  <sheetFormatPr defaultRowHeight="14.5" x14ac:dyDescent="0.35"/>
  <cols>
    <col min="1" max="1" width="22" customWidth="1"/>
    <col min="2" max="2" width="28" customWidth="1"/>
    <col min="3" max="3" width="68" customWidth="1"/>
    <col min="4" max="4" width="15" customWidth="1"/>
    <col min="5" max="5" width="18" customWidth="1"/>
    <col min="6" max="6" width="48" customWidth="1"/>
  </cols>
  <sheetData>
    <row r="1" spans="1:6" ht="34" customHeight="1" x14ac:dyDescent="0.65">
      <c r="A1" s="16" t="s">
        <v>62</v>
      </c>
      <c r="B1" s="13"/>
      <c r="C1" s="13"/>
      <c r="D1" s="13"/>
      <c r="E1" s="13"/>
      <c r="F1" s="13"/>
    </row>
    <row r="2" spans="1:6" ht="16" x14ac:dyDescent="0.4">
      <c r="A2" s="14" t="s">
        <v>63</v>
      </c>
      <c r="B2" s="13"/>
      <c r="C2" s="13"/>
      <c r="D2" s="13"/>
      <c r="E2" s="13"/>
      <c r="F2" s="13"/>
    </row>
    <row r="3" spans="1:6" ht="28" customHeight="1" x14ac:dyDescent="0.35">
      <c r="A3" s="12" t="s">
        <v>64</v>
      </c>
      <c r="B3" s="13"/>
      <c r="C3" s="13"/>
      <c r="D3" s="13"/>
      <c r="E3" s="13"/>
      <c r="F3" s="13"/>
    </row>
    <row r="5" spans="1:6" x14ac:dyDescent="0.35">
      <c r="A5" s="1" t="s">
        <v>3</v>
      </c>
      <c r="B5" s="1" t="s">
        <v>4</v>
      </c>
      <c r="C5" s="1" t="s">
        <v>65</v>
      </c>
      <c r="D5" s="1" t="s">
        <v>6</v>
      </c>
      <c r="E5" s="1" t="s">
        <v>7</v>
      </c>
      <c r="F5" s="1" t="s">
        <v>8</v>
      </c>
    </row>
    <row r="6" spans="1:6" ht="48" customHeight="1" x14ac:dyDescent="0.35">
      <c r="A6" s="2" t="s">
        <v>9</v>
      </c>
      <c r="B6" s="2" t="s">
        <v>10</v>
      </c>
      <c r="C6" s="3" t="s">
        <v>66</v>
      </c>
      <c r="D6" s="4" t="s">
        <v>67</v>
      </c>
      <c r="E6" s="4" t="s">
        <v>13</v>
      </c>
      <c r="F6" s="3" t="s">
        <v>68</v>
      </c>
    </row>
    <row r="7" spans="1:6" ht="48" customHeight="1" x14ac:dyDescent="0.35">
      <c r="A7" s="2" t="s">
        <v>9</v>
      </c>
      <c r="B7" s="2" t="s">
        <v>10</v>
      </c>
      <c r="C7" s="3" t="s">
        <v>69</v>
      </c>
      <c r="D7" s="4" t="s">
        <v>70</v>
      </c>
      <c r="E7" s="4" t="s">
        <v>13</v>
      </c>
      <c r="F7" s="3" t="s">
        <v>71</v>
      </c>
    </row>
    <row r="8" spans="1:6" ht="48" customHeight="1" x14ac:dyDescent="0.35">
      <c r="A8" s="2" t="s">
        <v>9</v>
      </c>
      <c r="B8" s="2" t="s">
        <v>10</v>
      </c>
      <c r="C8" s="3" t="s">
        <v>72</v>
      </c>
      <c r="D8" s="4" t="s">
        <v>70</v>
      </c>
      <c r="E8" s="4" t="s">
        <v>13</v>
      </c>
      <c r="F8" s="3" t="s">
        <v>73</v>
      </c>
    </row>
    <row r="9" spans="1:6" ht="48" customHeight="1" x14ac:dyDescent="0.35">
      <c r="A9" s="2" t="s">
        <v>9</v>
      </c>
      <c r="B9" s="2" t="s">
        <v>10</v>
      </c>
      <c r="C9" s="3" t="s">
        <v>74</v>
      </c>
      <c r="D9" s="4" t="s">
        <v>70</v>
      </c>
      <c r="E9" s="4" t="s">
        <v>13</v>
      </c>
      <c r="F9" s="3" t="s">
        <v>75</v>
      </c>
    </row>
    <row r="10" spans="1:6" ht="48" customHeight="1" x14ac:dyDescent="0.35">
      <c r="A10" s="2" t="s">
        <v>9</v>
      </c>
      <c r="B10" s="2" t="s">
        <v>10</v>
      </c>
      <c r="C10" s="3" t="s">
        <v>76</v>
      </c>
      <c r="D10" s="4" t="s">
        <v>77</v>
      </c>
      <c r="E10" s="4" t="s">
        <v>13</v>
      </c>
      <c r="F10" s="3" t="s">
        <v>78</v>
      </c>
    </row>
    <row r="11" spans="1:6" ht="48" customHeight="1" x14ac:dyDescent="0.35">
      <c r="A11" s="2" t="s">
        <v>9</v>
      </c>
      <c r="B11" s="2" t="s">
        <v>10</v>
      </c>
      <c r="C11" s="3" t="s">
        <v>79</v>
      </c>
      <c r="D11" s="4" t="s">
        <v>80</v>
      </c>
      <c r="E11" s="4" t="s">
        <v>13</v>
      </c>
      <c r="F11" s="3" t="s">
        <v>81</v>
      </c>
    </row>
    <row r="12" spans="1:6" ht="48" customHeight="1" x14ac:dyDescent="0.35">
      <c r="A12" s="2" t="s">
        <v>27</v>
      </c>
      <c r="B12" s="2" t="s">
        <v>28</v>
      </c>
      <c r="C12" s="3" t="s">
        <v>82</v>
      </c>
      <c r="D12" s="4" t="s">
        <v>67</v>
      </c>
      <c r="E12" s="4" t="s">
        <v>13</v>
      </c>
      <c r="F12" s="3" t="s">
        <v>83</v>
      </c>
    </row>
    <row r="13" spans="1:6" ht="48" customHeight="1" x14ac:dyDescent="0.35">
      <c r="A13" s="2" t="s">
        <v>27</v>
      </c>
      <c r="B13" s="2" t="s">
        <v>28</v>
      </c>
      <c r="C13" s="3" t="s">
        <v>84</v>
      </c>
      <c r="D13" s="4" t="s">
        <v>67</v>
      </c>
      <c r="E13" s="4" t="s">
        <v>13</v>
      </c>
      <c r="F13" s="3" t="s">
        <v>85</v>
      </c>
    </row>
    <row r="14" spans="1:6" ht="48" customHeight="1" x14ac:dyDescent="0.35">
      <c r="A14" s="2" t="s">
        <v>27</v>
      </c>
      <c r="B14" s="2" t="s">
        <v>28</v>
      </c>
      <c r="C14" s="3" t="s">
        <v>86</v>
      </c>
      <c r="D14" s="4" t="s">
        <v>70</v>
      </c>
      <c r="E14" s="4" t="s">
        <v>13</v>
      </c>
      <c r="F14" s="3" t="s">
        <v>87</v>
      </c>
    </row>
    <row r="15" spans="1:6" ht="48" customHeight="1" x14ac:dyDescent="0.35">
      <c r="A15" s="2" t="s">
        <v>27</v>
      </c>
      <c r="B15" s="2" t="s">
        <v>28</v>
      </c>
      <c r="C15" s="3" t="s">
        <v>88</v>
      </c>
      <c r="D15" s="4" t="s">
        <v>77</v>
      </c>
      <c r="E15" s="4" t="s">
        <v>13</v>
      </c>
      <c r="F15" s="3" t="s">
        <v>89</v>
      </c>
    </row>
    <row r="16" spans="1:6" ht="48" customHeight="1" x14ac:dyDescent="0.35">
      <c r="A16" s="2" t="s">
        <v>27</v>
      </c>
      <c r="B16" s="2" t="s">
        <v>28</v>
      </c>
      <c r="C16" s="3" t="s">
        <v>90</v>
      </c>
      <c r="D16" s="4" t="s">
        <v>80</v>
      </c>
      <c r="E16" s="4" t="s">
        <v>13</v>
      </c>
      <c r="F16" s="3" t="s">
        <v>91</v>
      </c>
    </row>
    <row r="17" spans="1:6" ht="48" customHeight="1" x14ac:dyDescent="0.35">
      <c r="A17" s="2" t="s">
        <v>27</v>
      </c>
      <c r="B17" s="2" t="s">
        <v>28</v>
      </c>
      <c r="C17" s="3" t="s">
        <v>92</v>
      </c>
      <c r="D17" s="4" t="s">
        <v>80</v>
      </c>
      <c r="E17" s="4" t="s">
        <v>13</v>
      </c>
      <c r="F17" s="3" t="s">
        <v>93</v>
      </c>
    </row>
    <row r="18" spans="1:6" ht="48" customHeight="1" x14ac:dyDescent="0.35">
      <c r="A18" s="2" t="s">
        <v>42</v>
      </c>
      <c r="B18" s="2" t="s">
        <v>43</v>
      </c>
      <c r="C18" s="3" t="s">
        <v>94</v>
      </c>
      <c r="D18" s="4" t="s">
        <v>67</v>
      </c>
      <c r="E18" s="4" t="s">
        <v>13</v>
      </c>
      <c r="F18" s="3" t="s">
        <v>95</v>
      </c>
    </row>
    <row r="19" spans="1:6" ht="48" customHeight="1" x14ac:dyDescent="0.35">
      <c r="A19" s="2" t="s">
        <v>42</v>
      </c>
      <c r="B19" s="2" t="s">
        <v>43</v>
      </c>
      <c r="C19" s="3" t="s">
        <v>96</v>
      </c>
      <c r="D19" s="4" t="s">
        <v>70</v>
      </c>
      <c r="E19" s="4" t="s">
        <v>13</v>
      </c>
      <c r="F19" s="3" t="s">
        <v>97</v>
      </c>
    </row>
    <row r="20" spans="1:6" ht="48" customHeight="1" x14ac:dyDescent="0.35">
      <c r="A20" s="2" t="s">
        <v>42</v>
      </c>
      <c r="B20" s="2" t="s">
        <v>43</v>
      </c>
      <c r="C20" s="3" t="s">
        <v>98</v>
      </c>
      <c r="D20" s="4" t="s">
        <v>77</v>
      </c>
      <c r="E20" s="4" t="s">
        <v>13</v>
      </c>
      <c r="F20" s="3" t="s">
        <v>99</v>
      </c>
    </row>
    <row r="21" spans="1:6" ht="48" customHeight="1" x14ac:dyDescent="0.35">
      <c r="A21" s="2" t="s">
        <v>42</v>
      </c>
      <c r="B21" s="2" t="s">
        <v>43</v>
      </c>
      <c r="C21" s="3" t="s">
        <v>100</v>
      </c>
      <c r="D21" s="4" t="s">
        <v>77</v>
      </c>
      <c r="E21" s="4" t="s">
        <v>13</v>
      </c>
      <c r="F21" s="3" t="s">
        <v>101</v>
      </c>
    </row>
    <row r="22" spans="1:6" ht="48" customHeight="1" x14ac:dyDescent="0.35">
      <c r="A22" s="2" t="s">
        <v>42</v>
      </c>
      <c r="B22" s="2" t="s">
        <v>43</v>
      </c>
      <c r="C22" s="3" t="s">
        <v>102</v>
      </c>
      <c r="D22" s="4" t="s">
        <v>77</v>
      </c>
      <c r="E22" s="4" t="s">
        <v>13</v>
      </c>
      <c r="F22" s="3" t="s">
        <v>103</v>
      </c>
    </row>
    <row r="23" spans="1:6" ht="48" customHeight="1" x14ac:dyDescent="0.35">
      <c r="A23" s="2" t="s">
        <v>42</v>
      </c>
      <c r="B23" s="2" t="s">
        <v>43</v>
      </c>
      <c r="C23" s="3" t="s">
        <v>104</v>
      </c>
      <c r="D23" s="4" t="s">
        <v>80</v>
      </c>
      <c r="E23" s="4" t="s">
        <v>13</v>
      </c>
      <c r="F23" s="3" t="s">
        <v>105</v>
      </c>
    </row>
    <row r="24" spans="1:6" ht="48" customHeight="1" x14ac:dyDescent="0.35">
      <c r="A24" s="2" t="s">
        <v>42</v>
      </c>
      <c r="B24" s="2" t="s">
        <v>43</v>
      </c>
      <c r="C24" s="3" t="s">
        <v>106</v>
      </c>
      <c r="D24" s="4" t="s">
        <v>80</v>
      </c>
      <c r="E24" s="4" t="s">
        <v>13</v>
      </c>
      <c r="F24" s="3" t="s">
        <v>107</v>
      </c>
    </row>
    <row r="27" spans="1:6" ht="16" x14ac:dyDescent="0.4">
      <c r="A27" s="15" t="s">
        <v>56</v>
      </c>
      <c r="B27" s="13"/>
      <c r="C27" s="13"/>
      <c r="D27" s="13"/>
      <c r="E27" s="13"/>
      <c r="F27" s="13"/>
    </row>
    <row r="28" spans="1:6" x14ac:dyDescent="0.35">
      <c r="A28" s="5" t="s">
        <v>3</v>
      </c>
      <c r="B28" s="5" t="s">
        <v>57</v>
      </c>
      <c r="C28" s="5" t="s">
        <v>58</v>
      </c>
      <c r="D28" s="5" t="s">
        <v>59</v>
      </c>
      <c r="E28" s="5" t="s">
        <v>60</v>
      </c>
      <c r="F28" s="5" t="s">
        <v>61</v>
      </c>
    </row>
    <row r="29" spans="1:6" x14ac:dyDescent="0.35">
      <c r="A29" s="6" t="s">
        <v>9</v>
      </c>
      <c r="B29" s="7">
        <f>COUNTIF($A$6:$A$24,A29)</f>
        <v>6</v>
      </c>
      <c r="C29" s="7">
        <f>COUNTIFS($A$6:$A$24,A29,$E$6:$E$24,"☑ Complete")</f>
        <v>0</v>
      </c>
      <c r="D29" s="7">
        <f>COUNTIFS($A$6:$A$24,A29,$E$6:$E$24,"◐ In progress")</f>
        <v>0</v>
      </c>
      <c r="E29" s="7">
        <f>COUNTIFS($A$6:$A$24,A29,$E$6:$E$24,"⚠ Blocked")</f>
        <v>0</v>
      </c>
      <c r="F29" s="8">
        <f>IF(B29=0,0,C29/B29)</f>
        <v>0</v>
      </c>
    </row>
    <row r="30" spans="1:6" x14ac:dyDescent="0.35">
      <c r="A30" s="6" t="s">
        <v>27</v>
      </c>
      <c r="B30" s="7">
        <f>COUNTIF($A$6:$A$24,A30)</f>
        <v>6</v>
      </c>
      <c r="C30" s="7">
        <f>COUNTIFS($A$6:$A$24,A30,$E$6:$E$24,"☑ Complete")</f>
        <v>0</v>
      </c>
      <c r="D30" s="7">
        <f>COUNTIFS($A$6:$A$24,A30,$E$6:$E$24,"◐ In progress")</f>
        <v>0</v>
      </c>
      <c r="E30" s="7">
        <f>COUNTIFS($A$6:$A$24,A30,$E$6:$E$24,"⚠ Blocked")</f>
        <v>0</v>
      </c>
      <c r="F30" s="8">
        <f>IF(B30=0,0,C30/B30)</f>
        <v>0</v>
      </c>
    </row>
    <row r="31" spans="1:6" x14ac:dyDescent="0.35">
      <c r="A31" s="6" t="s">
        <v>42</v>
      </c>
      <c r="B31" s="7">
        <f>COUNTIF($A$6:$A$24,A31)</f>
        <v>7</v>
      </c>
      <c r="C31" s="7">
        <f>COUNTIFS($A$6:$A$24,A31,$E$6:$E$24,"☑ Complete")</f>
        <v>0</v>
      </c>
      <c r="D31" s="7">
        <f>COUNTIFS($A$6:$A$24,A31,$E$6:$E$24,"◐ In progress")</f>
        <v>0</v>
      </c>
      <c r="E31" s="7">
        <f>COUNTIFS($A$6:$A$24,A31,$E$6:$E$24,"⚠ Blocked")</f>
        <v>0</v>
      </c>
      <c r="F31" s="8">
        <f>IF(B31=0,0,C31/B31)</f>
        <v>0</v>
      </c>
    </row>
  </sheetData>
  <mergeCells count="4">
    <mergeCell ref="A3:F3"/>
    <mergeCell ref="A2:F2"/>
    <mergeCell ref="A1:F1"/>
    <mergeCell ref="A27:F27"/>
  </mergeCells>
  <conditionalFormatting sqref="E6:E24">
    <cfRule type="expression" dxfId="2" priority="1">
      <formula>$E6="☑ Complete"</formula>
    </cfRule>
    <cfRule type="expression" dxfId="1" priority="2">
      <formula>$E6="◐ In progress"</formula>
    </cfRule>
    <cfRule type="expression" dxfId="0" priority="3">
      <formula>$E6="⚠ Blocked"</formula>
    </cfRule>
  </conditionalFormatting>
  <dataValidations count="1">
    <dataValidation type="list" sqref="E6:E24" xr:uid="{00000000-0002-0000-0100-000000000000}">
      <formula1>"☐ Not started,◐ In progress,☑ Complete,⚠ Blocked"</formula1>
    </dataValidation>
  </dataValidations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183"/>
    <pageSetUpPr fitToPage="1"/>
  </sheetPr>
  <dimension ref="A1:E11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4.5" x14ac:dyDescent="0.35"/>
  <cols>
    <col min="1" max="1" width="42" customWidth="1"/>
    <col min="2" max="2" width="16" customWidth="1"/>
    <col min="3" max="3" width="22" customWidth="1"/>
    <col min="4" max="4" width="18" customWidth="1"/>
    <col min="5" max="5" width="55" customWidth="1"/>
  </cols>
  <sheetData>
    <row r="1" spans="1:5" ht="28.5" x14ac:dyDescent="0.65">
      <c r="A1" s="16" t="s">
        <v>108</v>
      </c>
      <c r="B1" s="13"/>
      <c r="C1" s="13"/>
      <c r="D1" s="13"/>
      <c r="E1" s="13"/>
    </row>
    <row r="2" spans="1:5" x14ac:dyDescent="0.35">
      <c r="A2" s="17" t="s">
        <v>109</v>
      </c>
      <c r="B2" s="13"/>
      <c r="C2" s="13"/>
      <c r="D2" s="13"/>
      <c r="E2" s="13"/>
    </row>
    <row r="4" spans="1:5" x14ac:dyDescent="0.35">
      <c r="A4" s="9" t="s">
        <v>110</v>
      </c>
      <c r="B4" s="9" t="s">
        <v>111</v>
      </c>
      <c r="C4" s="9" t="s">
        <v>112</v>
      </c>
      <c r="D4" s="9" t="s">
        <v>7</v>
      </c>
      <c r="E4" s="9" t="s">
        <v>113</v>
      </c>
    </row>
    <row r="5" spans="1:5" ht="42" customHeight="1" x14ac:dyDescent="0.35">
      <c r="A5" s="10" t="s">
        <v>114</v>
      </c>
      <c r="B5" s="10" t="s">
        <v>23</v>
      </c>
      <c r="C5" s="10" t="s">
        <v>115</v>
      </c>
      <c r="D5" s="10" t="s">
        <v>13</v>
      </c>
      <c r="E5" s="10" t="s">
        <v>116</v>
      </c>
    </row>
    <row r="6" spans="1:5" ht="42" customHeight="1" x14ac:dyDescent="0.35">
      <c r="A6" s="10" t="s">
        <v>117</v>
      </c>
      <c r="B6" s="10" t="s">
        <v>67</v>
      </c>
      <c r="C6" s="10" t="s">
        <v>118</v>
      </c>
      <c r="D6" s="10" t="s">
        <v>13</v>
      </c>
      <c r="E6" s="10" t="s">
        <v>119</v>
      </c>
    </row>
    <row r="7" spans="1:5" ht="42" customHeight="1" x14ac:dyDescent="0.35">
      <c r="A7" s="10" t="s">
        <v>120</v>
      </c>
      <c r="B7" s="10" t="s">
        <v>70</v>
      </c>
      <c r="C7" s="10" t="s">
        <v>121</v>
      </c>
      <c r="D7" s="10" t="s">
        <v>13</v>
      </c>
      <c r="E7" s="10" t="s">
        <v>122</v>
      </c>
    </row>
    <row r="8" spans="1:5" ht="42" customHeight="1" x14ac:dyDescent="0.35">
      <c r="A8" s="11" t="s">
        <v>123</v>
      </c>
      <c r="B8" s="11" t="s">
        <v>77</v>
      </c>
      <c r="C8" s="11" t="s">
        <v>115</v>
      </c>
      <c r="D8" s="11" t="s">
        <v>13</v>
      </c>
      <c r="E8" s="11" t="s">
        <v>124</v>
      </c>
    </row>
    <row r="9" spans="1:5" ht="42" customHeight="1" x14ac:dyDescent="0.35">
      <c r="A9" s="10" t="s">
        <v>125</v>
      </c>
      <c r="B9" s="10" t="s">
        <v>77</v>
      </c>
      <c r="C9" s="10" t="s">
        <v>121</v>
      </c>
      <c r="D9" s="10" t="s">
        <v>13</v>
      </c>
      <c r="E9" s="10" t="s">
        <v>126</v>
      </c>
    </row>
    <row r="10" spans="1:5" ht="42" customHeight="1" x14ac:dyDescent="0.35">
      <c r="A10" s="11" t="s">
        <v>127</v>
      </c>
      <c r="B10" s="11" t="s">
        <v>80</v>
      </c>
      <c r="C10" s="11" t="s">
        <v>115</v>
      </c>
      <c r="D10" s="11" t="s">
        <v>13</v>
      </c>
      <c r="E10" s="11" t="s">
        <v>128</v>
      </c>
    </row>
    <row r="11" spans="1:5" ht="42" customHeight="1" x14ac:dyDescent="0.35">
      <c r="A11" s="10" t="s">
        <v>129</v>
      </c>
      <c r="B11" s="10" t="s">
        <v>80</v>
      </c>
      <c r="C11" s="10" t="s">
        <v>115</v>
      </c>
      <c r="D11" s="10" t="s">
        <v>13</v>
      </c>
      <c r="E11" s="10" t="s">
        <v>130</v>
      </c>
    </row>
  </sheetData>
  <autoFilter ref="A4:E11" xr:uid="{00000000-0009-0000-0000-000002000000}"/>
  <mergeCells count="2">
    <mergeCell ref="A2:E2"/>
    <mergeCell ref="A1:E1"/>
  </mergeCells>
  <dataValidations count="1">
    <dataValidation type="list" sqref="D5:D11" xr:uid="{00000000-0002-0000-0200-000000000000}">
      <formula1>"☐ Not started,◐ In progress,☑ Complete,⚠ Blocked"</formula1>
    </dataValidation>
  </dataValidation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3016A12E84191BBD3034F66A747" ma:contentTypeVersion="8" ma:contentTypeDescription="Create a new document." ma:contentTypeScope="" ma:versionID="b7b957fde0967ba7b28c96f35bf80653">
  <xsd:schema xmlns:xsd="http://www.w3.org/2001/XMLSchema" xmlns:xs="http://www.w3.org/2001/XMLSchema" xmlns:p="http://schemas.microsoft.com/office/2006/metadata/properties" xmlns:ns2="d64c8698-aed8-482d-9c0d-22767eb66ced" targetNamespace="http://schemas.microsoft.com/office/2006/metadata/properties" ma:root="true" ma:fieldsID="d7893930a03f3cab47217cac3f6a2b3d" ns2:_="">
    <xsd:import namespace="d64c8698-aed8-482d-9c0d-22767eb66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8698-aed8-482d-9c0d-22767eb66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4c8698-aed8-482d-9c0d-22767eb66c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BC778-F9B2-47DA-8707-37B86837440D}"/>
</file>

<file path=customXml/itemProps2.xml><?xml version="1.0" encoding="utf-8"?>
<ds:datastoreItem xmlns:ds="http://schemas.openxmlformats.org/officeDocument/2006/customXml" ds:itemID="{C260CB88-0A26-45CD-9F69-2904BA437875}"/>
</file>

<file path=customXml/itemProps3.xml><?xml version="1.0" encoding="utf-8"?>
<ds:datastoreItem xmlns:ds="http://schemas.openxmlformats.org/officeDocument/2006/customXml" ds:itemID="{C8985202-72D1-47A4-8192-3864BCF89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Week 5 Checklist</vt:lpstr>
      <vt:lpstr>Week 6 Checklist</vt:lpstr>
      <vt:lpstr>Milestones</vt:lpstr>
      <vt:lpstr>'Week 5 Checklist'!Print_Titles</vt:lpstr>
      <vt:lpstr>'Week 6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Week 5 and Week 6 Checklists</dc:title>
  <dc:subject>Reporting and presentation completion plan</dc:subject>
  <dc:creator>Bel Zhou</dc:creator>
  <cp:lastModifiedBy>Bel Zhou</cp:lastModifiedBy>
  <dcterms:created xsi:type="dcterms:W3CDTF">2026-09-18T11:59:44Z</dcterms:created>
  <dcterms:modified xsi:type="dcterms:W3CDTF">2026-09-18T12:02:26Z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ec08e-78dd-458e-9a57-7ab56320e797_Enabled">
    <vt:lpwstr>true</vt:lpwstr>
  </property>
  <property fmtid="{D5CDD505-2E9C-101B-9397-08002B2CF9AE}" pid="3" name="MSIP_Label_bd8ec08e-78dd-458e-9a57-7ab56320e797_SetDate">
    <vt:lpwstr>2026-09-18T11:59:44Z</vt:lpwstr>
  </property>
  <property fmtid="{D5CDD505-2E9C-101B-9397-08002B2CF9AE}" pid="4" name="MSIP_Label_bd8ec08e-78dd-458e-9a57-7ab56320e797_Method">
    <vt:lpwstr>Standard</vt:lpwstr>
  </property>
  <property fmtid="{D5CDD505-2E9C-101B-9397-08002B2CF9AE}" pid="5" name="MSIP_Label_bd8ec08e-78dd-458e-9a57-7ab56320e797_Name">
    <vt:lpwstr>Highly Sensitive</vt:lpwstr>
  </property>
  <property fmtid="{D5CDD505-2E9C-101B-9397-08002B2CF9AE}" pid="6" name="MSIP_Label_bd8ec08e-78dd-458e-9a57-7ab56320e797_SiteId">
    <vt:lpwstr>962eac56-3e0a-4f69-b806-ab958060d246</vt:lpwstr>
  </property>
  <property fmtid="{D5CDD505-2E9C-101B-9397-08002B2CF9AE}" pid="7" name="MSIP_Label_bd8ec08e-78dd-458e-9a57-7ab56320e797_ActionId">
    <vt:lpwstr>258f0e4d-1bd2-4e5e-8a18-b313032866ff</vt:lpwstr>
  </property>
  <property fmtid="{D5CDD505-2E9C-101B-9397-08002B2CF9AE}" pid="8" name="MSIP_Label_bd8ec08e-78dd-458e-9a57-7ab56320e797_ContentBits">
    <vt:lpwstr>0</vt:lpwstr>
  </property>
  <property fmtid="{D5CDD505-2E9C-101B-9397-08002B2CF9AE}" pid="9" name="ContentTypeId">
    <vt:lpwstr>0x010100481DF3016A12E84191BBD3034F66A747</vt:lpwstr>
  </property>
</Properties>
</file>