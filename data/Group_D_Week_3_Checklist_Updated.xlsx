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Week 3/"/>
    </mc:Choice>
  </mc:AlternateContent>
  <xr:revisionPtr revIDLastSave="0" documentId="8_{08AB446C-B9BC-44E0-B8E5-D6C5B8EEF3B5}" xr6:coauthVersionLast="47" xr6:coauthVersionMax="47" xr10:uidLastSave="{00000000-0000-0000-0000-000000000000}"/>
  <bookViews>
    <workbookView xWindow="28680" yWindow="960" windowWidth="29040" windowHeight="15720" xr2:uid="{00000000-000D-0000-FFFF-FFFF00000000}"/>
  </bookViews>
  <sheets>
    <sheet name="Week 3 Checklist" sheetId="1" r:id="rId1"/>
    <sheet name="Team Deliverables" sheetId="2" r:id="rId2"/>
  </sheets>
  <definedNames>
    <definedName name="_xlnm._FilterDatabase" localSheetId="1" hidden="1">'Team Deliverables'!$A$4:$D$13</definedName>
    <definedName name="_xlnm.Print_Titles" localSheetId="0">'Week 3 Checklist'!$1:$5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D36" i="1"/>
  <c r="C36" i="1"/>
  <c r="B36" i="1"/>
  <c r="E35" i="1"/>
  <c r="D35" i="1"/>
  <c r="C35" i="1"/>
  <c r="B35" i="1"/>
  <c r="E34" i="1"/>
  <c r="D34" i="1"/>
  <c r="C34" i="1"/>
  <c r="B34" i="1"/>
</calcChain>
</file>

<file path=xl/sharedStrings.xml><?xml version="1.0" encoding="utf-8"?>
<sst xmlns="http://schemas.openxmlformats.org/spreadsheetml/2006/main" count="175" uniqueCount="95">
  <si>
    <t>Week 3 Checklist</t>
  </si>
  <si>
    <t>Group D - Week 3 Checklist</t>
  </si>
  <si>
    <t>Update the status dropdown and add notes or evidence as each task is completed.</t>
  </si>
  <si>
    <t>Team Member</t>
  </si>
  <si>
    <t>Role / Focus</t>
  </si>
  <si>
    <t>Week 3 Task</t>
  </si>
  <si>
    <t>Status</t>
  </si>
  <si>
    <t>Notes / Evidence</t>
  </si>
  <si>
    <t>Bel Zhou</t>
  </si>
  <si>
    <t>Data Engineer / Researcher</t>
  </si>
  <si>
    <t>Finalise and validate the NSW1 rooftop PV and operational demand datasets.</t>
  </si>
  <si>
    <t>☑ Complete</t>
  </si>
  <si>
    <t>Historical AEMO data consolidated; common modelling period contains 19,008 half-hourly records.</t>
  </si>
  <si>
    <t>Standardise timestamps and resolve missing intervals, duplicates and daylight-saving issues.</t>
  </si>
  <si>
    <t>Timestamps standardised; 0 duplicates and 0 missing 30-minute intervals identified.</t>
  </si>
  <si>
    <t>Complete the merged NSW1 modelling dataset.</t>
  </si>
  <si>
    <t>NSW1 PV, operational demand, Sydney Airport weather and solar exposure merged in NSW1_Historical_Modelling_Dataset_Week3.csv.</t>
  </si>
  <si>
    <t>Create calendar features: hour, weekday, month, season and public holiday indicator.</t>
  </si>
  <si>
    <t>Hour, minute, half-hour slot, weekday, weekend, month, quarter, year and season created. Public holiday indicator not included.</t>
  </si>
  <si>
    <t>Create change and ramp variables for PV and operational demand.</t>
  </si>
  <si>
    <t>DELTA_PV_MW, DELTA_DEMAND_MW and PV_RAMP_DIRECTION created.</t>
  </si>
  <si>
    <t>Create initial lag features for 30, 60 and 120 minutes.</t>
  </si>
  <si>
    <t>PV and demand lag 1, lag 2 and lag 4 features created after chronological sorting.</t>
  </si>
  <si>
    <t>Update the Data Dictionary and data quality documentation.</t>
  </si>
  <si>
    <t>Week3_Data_Dictionary_v2.csv and Week3_Data_Quality_Summary.csv completed.</t>
  </si>
  <si>
    <t>Add 1–2 relevant sources on time-series feature engineering or PV variability.</t>
  </si>
  <si>
    <t>☐ Not started</t>
  </si>
  <si>
    <t>Not yet completed; retain as outstanding literature review task.</t>
  </si>
  <si>
    <t>Anders Appel</t>
  </si>
  <si>
    <t>Data Engineer / Analyst</t>
  </si>
  <si>
    <t>Complete the Week 3 learning content on statistical tools, machine learning and dimensionality reduction.</t>
  </si>
  <si>
    <t>Summarise key implications for the project.</t>
  </si>
  <si>
    <t>Perform initial EDA on the merged modelling dataset.</t>
  </si>
  <si>
    <t>Produce summary statistics for demand, PV and available weather variables.</t>
  </si>
  <si>
    <t>Analyse intraday, weekday and seasonal patterns in demand and rooftop PV.</t>
  </si>
  <si>
    <t>Save clear charts and concise observations.</t>
  </si>
  <si>
    <t>Explore the relationship between PV changes and demand changes.</t>
  </si>
  <si>
    <t>Include correlation and preliminary cross-correlation results.</t>
  </si>
  <si>
    <t>Assess the suitability of OLS, GAM and a tree-based machine-learning benchmark.</t>
  </si>
  <si>
    <t>Document strengths, limitations and selection criteria.</t>
  </si>
  <si>
    <t>Assess multicollinearity among candidate explanatory variables.</t>
  </si>
  <si>
    <t>Review whether PCA or other dimensionality reduction is warranted.</t>
  </si>
  <si>
    <t>Propose the chronological train, validation and test design.</t>
  </si>
  <si>
    <t>Ensure the split prevents future-information leakage.</t>
  </si>
  <si>
    <t>Create and document the preliminary modelling workflow for Week 4.</t>
  </si>
  <si>
    <t>Specify inputs, target, baseline and evaluation metrics.</t>
  </si>
  <si>
    <t>William Sivieng</t>
  </si>
  <si>
    <t>Project Lead</t>
  </si>
  <si>
    <t>Review Week 2 deliverables and identify any outstanding actions.</t>
  </si>
  <si>
    <t>Update the team task board and owners.</t>
  </si>
  <si>
    <t>Coordinate the Week 3 team check-in and teamwork reflection.</t>
  </si>
  <si>
    <t>Record decisions, blockers and agreed next steps.</t>
  </si>
  <si>
    <t>Confirm that Week 3 activities remain aligned with the research questions and project scope.</t>
  </si>
  <si>
    <t>Document any approved scope changes.</t>
  </si>
  <si>
    <t>Draft the report structure for data, EDA, methodology, results and discussion.</t>
  </si>
  <si>
    <t>Assign section owners and peer reviewers.</t>
  </si>
  <si>
    <t>Define the evaluation framework with the team.</t>
  </si>
  <si>
    <t>Document MAE, RMSE, coefficient uncertainty and diagnostic requirements.</t>
  </si>
  <si>
    <t>Review Bel's data documentation and Anders' EDA or modelling plan.</t>
  </si>
  <si>
    <t>Record feedback and required follow-up actions.</t>
  </si>
  <si>
    <t>Check that literature review and references are consistent and correctly formatted.</t>
  </si>
  <si>
    <t>Track missing citations or formatting issues.</t>
  </si>
  <si>
    <t>Confirm the GitHub repository is current and Week 3 files are stored in relevant folders.</t>
  </si>
  <si>
    <t>Check filenames, folder structure and version history.</t>
  </si>
  <si>
    <t>Current Status Summary</t>
  </si>
  <si>
    <t>Total Tasks</t>
  </si>
  <si>
    <t>Complete</t>
  </si>
  <si>
    <t>In Progress</t>
  </si>
  <si>
    <t>Blocked</t>
  </si>
  <si>
    <t>Week 3 Team Deliverables</t>
  </si>
  <si>
    <t>Shared outcomes expected by the end of Week 3</t>
  </si>
  <si>
    <t>Deliverable</t>
  </si>
  <si>
    <t>Owner / Contributors</t>
  </si>
  <si>
    <t>Evidence / Link</t>
  </si>
  <si>
    <t>Cleaned and merged NSW1 modelling dataset</t>
  </si>
  <si>
    <t>Bel / Anders</t>
  </si>
  <si>
    <t>NSW1_Historical_Modelling_Dataset_Week3.csv</t>
  </si>
  <si>
    <t>Updated Data Dictionary and data quality log</t>
  </si>
  <si>
    <t>Bel</t>
  </si>
  <si>
    <t>Week3_Data_Dictionary_v2.csv; Week3_Data_Quality_Summary.csv</t>
  </si>
  <si>
    <t>Initial EDA notebook and charts</t>
  </si>
  <si>
    <t>Anders / Bel</t>
  </si>
  <si>
    <t>Week3_EDA_and_Documentation.xlsx; Week_3_EDA_Findings.docx; EDA charts</t>
  </si>
  <si>
    <t>Engineered calendar, change, ramp and lag features</t>
  </si>
  <si>
    <t>Included in historical modelling dataset; public holiday flag remains outstanding</t>
  </si>
  <si>
    <t>Statistical and machine-learning model selection rationale</t>
  </si>
  <si>
    <t>Anders</t>
  </si>
  <si>
    <t>Chronological validation and evaluation plan</t>
  </si>
  <si>
    <t>Anders / William</t>
  </si>
  <si>
    <t>Updated literature review and references</t>
  </si>
  <si>
    <t>Bel / William</t>
  </si>
  <si>
    <t>Additional Week 3 sources still required</t>
  </si>
  <si>
    <t>Updated GitHub repository and task board</t>
  </si>
  <si>
    <t>William / All</t>
  </si>
  <si>
    <t>Week 3 teamwork reflection and check-in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</si>
</sst>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rgb="FF17365D"/>
      <name val="Aptos Display"/>
    </font>
    <font>
      <b/>
      <sz val="12"/>
      <color rgb="FF00A6A6"/>
      <name val="Aptos"/>
    </font>
    <font>
      <i/>
      <sz val="10"/>
      <color rgb="FF64748B"/>
      <name val="Aptos"/>
    </font>
    <font>
      <b/>
      <sz val="11"/>
      <color rgb="FFFFFFFF"/>
      <name val="Aptos"/>
    </font>
    <font>
      <sz val="10"/>
      <color rgb="FF1F2937"/>
      <name val="Aptos"/>
    </font>
    <font>
      <b/>
      <sz val="12"/>
      <color rgb="FFFFFFFF"/>
      <name val="Aptos"/>
    </font>
    <font>
      <b/>
      <sz val="11"/>
      <color rgb="FF17365D"/>
      <name val="Aptos"/>
    </font>
    <font>
      <b/>
      <sz val="20"/>
      <color rgb="FF17365D"/>
      <name val="Aptos Display"/>
    </font>
    <font>
      <i/>
      <sz val="11"/>
      <color rgb="FF64748B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00A6A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6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3Checklist" displayName="Week3Checklist" ref="A5:E29">
  <autoFilter ref="A5:E29" xr:uid="{00000000-0009-0000-0100-000001000000}"/>
  <tableColumns count="5">
    <tableColumn id="1" xr3:uid="{00000000-0010-0000-0000-000001000000}" name="Team Member"/>
    <tableColumn id="2" xr3:uid="{00000000-0010-0000-0000-000002000000}" name="Role / Focus"/>
    <tableColumn id="3" xr3:uid="{00000000-0010-0000-0000-000003000000}" name="Week 3 Task"/>
    <tableColumn id="4" xr3:uid="{00000000-0010-0000-0000-000004000000}" name="Status"/>
    <tableColumn id="5" xr3:uid="{00000000-0010-0000-0000-000005000000}" name="Notes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6A6"/>
    <pageSetUpPr fitToPage="1"/>
  </sheetPr>
  <dimension ref="A1:E36"/>
  <sheetViews>
    <sheetView showGridLines="0" tabSelected="1" workbookViewId="0">
      <pane ySplit="5" topLeftCell="A9" activePane="bottomLeft" state="frozen"/>
      <selection pane="bottomLeft" activeCell="G14" sqref="G14"/>
    </sheetView>
  </sheetViews>
  <sheetFormatPr defaultRowHeight="14.5" x14ac:dyDescent="0.35"/>
  <cols>
    <col min="1" max="1" width="22" customWidth="1"/>
    <col min="2" max="2" width="29" customWidth="1"/>
    <col min="3" max="3" width="72" customWidth="1"/>
    <col min="4" max="4" width="18" customWidth="1"/>
    <col min="5" max="5" width="48" customWidth="1"/>
  </cols>
  <sheetData>
    <row r="1" spans="1:5" ht="34" customHeight="1" x14ac:dyDescent="0.35">
      <c r="A1" s="11" t="s">
        <v>0</v>
      </c>
      <c r="B1" s="10"/>
      <c r="C1" s="10"/>
      <c r="D1" s="10"/>
      <c r="E1" s="10"/>
    </row>
    <row r="2" spans="1:5" ht="16" customHeight="1" x14ac:dyDescent="0.35">
      <c r="A2" s="9" t="s">
        <v>1</v>
      </c>
      <c r="B2" s="10"/>
      <c r="C2" s="10"/>
      <c r="D2" s="10"/>
      <c r="E2" s="10"/>
    </row>
    <row r="3" spans="1:5" ht="24" customHeight="1" x14ac:dyDescent="0.35">
      <c r="A3" s="13" t="s">
        <v>2</v>
      </c>
      <c r="B3" s="10"/>
      <c r="C3" s="10"/>
      <c r="D3" s="10"/>
      <c r="E3" s="10"/>
    </row>
    <row r="4" spans="1:5" x14ac:dyDescent="0.35">
      <c r="A4" s="3"/>
      <c r="B4" s="3"/>
      <c r="C4" s="3"/>
      <c r="D4" s="3"/>
      <c r="E4" s="3"/>
    </row>
    <row r="5" spans="1:5" ht="28" customHeight="1" x14ac:dyDescent="0.3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43" customHeight="1" x14ac:dyDescent="0.35">
      <c r="A6" s="1" t="s">
        <v>8</v>
      </c>
      <c r="B6" s="1" t="s">
        <v>9</v>
      </c>
      <c r="C6" s="2" t="s">
        <v>10</v>
      </c>
      <c r="D6" s="5" t="s">
        <v>11</v>
      </c>
      <c r="E6" s="2" t="s">
        <v>12</v>
      </c>
    </row>
    <row r="7" spans="1:5" ht="43" customHeight="1" x14ac:dyDescent="0.35">
      <c r="A7" s="1" t="s">
        <v>8</v>
      </c>
      <c r="B7" s="1" t="s">
        <v>9</v>
      </c>
      <c r="C7" s="2" t="s">
        <v>13</v>
      </c>
      <c r="D7" s="5" t="s">
        <v>11</v>
      </c>
      <c r="E7" s="2" t="s">
        <v>14</v>
      </c>
    </row>
    <row r="8" spans="1:5" ht="43" customHeight="1" x14ac:dyDescent="0.35">
      <c r="A8" s="1" t="s">
        <v>8</v>
      </c>
      <c r="B8" s="1" t="s">
        <v>9</v>
      </c>
      <c r="C8" s="2" t="s">
        <v>15</v>
      </c>
      <c r="D8" s="5" t="s">
        <v>11</v>
      </c>
      <c r="E8" s="2" t="s">
        <v>16</v>
      </c>
    </row>
    <row r="9" spans="1:5" ht="43" customHeight="1" x14ac:dyDescent="0.35">
      <c r="A9" s="1" t="s">
        <v>8</v>
      </c>
      <c r="B9" s="1" t="s">
        <v>9</v>
      </c>
      <c r="C9" s="2" t="s">
        <v>17</v>
      </c>
      <c r="D9" s="5" t="s">
        <v>11</v>
      </c>
      <c r="E9" s="2" t="s">
        <v>18</v>
      </c>
    </row>
    <row r="10" spans="1:5" ht="43" customHeight="1" x14ac:dyDescent="0.35">
      <c r="A10" s="1" t="s">
        <v>8</v>
      </c>
      <c r="B10" s="1" t="s">
        <v>9</v>
      </c>
      <c r="C10" s="2" t="s">
        <v>19</v>
      </c>
      <c r="D10" s="5" t="s">
        <v>11</v>
      </c>
      <c r="E10" s="2" t="s">
        <v>20</v>
      </c>
    </row>
    <row r="11" spans="1:5" ht="43" customHeight="1" x14ac:dyDescent="0.35">
      <c r="A11" s="1" t="s">
        <v>8</v>
      </c>
      <c r="B11" s="1" t="s">
        <v>9</v>
      </c>
      <c r="C11" s="2" t="s">
        <v>21</v>
      </c>
      <c r="D11" s="5" t="s">
        <v>11</v>
      </c>
      <c r="E11" s="2" t="s">
        <v>22</v>
      </c>
    </row>
    <row r="12" spans="1:5" ht="43" customHeight="1" x14ac:dyDescent="0.35">
      <c r="A12" s="1" t="s">
        <v>8</v>
      </c>
      <c r="B12" s="1" t="s">
        <v>9</v>
      </c>
      <c r="C12" s="2" t="s">
        <v>23</v>
      </c>
      <c r="D12" s="5" t="s">
        <v>11</v>
      </c>
      <c r="E12" s="2" t="s">
        <v>24</v>
      </c>
    </row>
    <row r="13" spans="1:5" ht="43" customHeight="1" x14ac:dyDescent="0.35">
      <c r="A13" s="1" t="s">
        <v>8</v>
      </c>
      <c r="B13" s="1" t="s">
        <v>9</v>
      </c>
      <c r="C13" s="2" t="s">
        <v>25</v>
      </c>
      <c r="D13" s="5" t="s">
        <v>11</v>
      </c>
      <c r="E13" s="2" t="s">
        <v>27</v>
      </c>
    </row>
    <row r="14" spans="1:5" ht="43" customHeight="1" x14ac:dyDescent="0.35">
      <c r="A14" s="1" t="s">
        <v>28</v>
      </c>
      <c r="B14" s="1" t="s">
        <v>29</v>
      </c>
      <c r="C14" s="2" t="s">
        <v>30</v>
      </c>
      <c r="D14" s="5" t="s">
        <v>26</v>
      </c>
      <c r="E14" s="2" t="s">
        <v>31</v>
      </c>
    </row>
    <row r="15" spans="1:5" ht="43" customHeight="1" x14ac:dyDescent="0.35">
      <c r="A15" s="1" t="s">
        <v>28</v>
      </c>
      <c r="B15" s="1" t="s">
        <v>29</v>
      </c>
      <c r="C15" s="2" t="s">
        <v>32</v>
      </c>
      <c r="D15" s="5" t="s">
        <v>26</v>
      </c>
      <c r="E15" s="2" t="s">
        <v>33</v>
      </c>
    </row>
    <row r="16" spans="1:5" ht="43" customHeight="1" x14ac:dyDescent="0.35">
      <c r="A16" s="1" t="s">
        <v>28</v>
      </c>
      <c r="B16" s="1" t="s">
        <v>29</v>
      </c>
      <c r="C16" s="2" t="s">
        <v>34</v>
      </c>
      <c r="D16" s="5" t="s">
        <v>26</v>
      </c>
      <c r="E16" s="2" t="s">
        <v>35</v>
      </c>
    </row>
    <row r="17" spans="1:5" ht="43" customHeight="1" x14ac:dyDescent="0.35">
      <c r="A17" s="1" t="s">
        <v>28</v>
      </c>
      <c r="B17" s="1" t="s">
        <v>29</v>
      </c>
      <c r="C17" s="2" t="s">
        <v>36</v>
      </c>
      <c r="D17" s="5" t="s">
        <v>26</v>
      </c>
      <c r="E17" s="2" t="s">
        <v>37</v>
      </c>
    </row>
    <row r="18" spans="1:5" ht="43" customHeight="1" x14ac:dyDescent="0.35">
      <c r="A18" s="1" t="s">
        <v>28</v>
      </c>
      <c r="B18" s="1" t="s">
        <v>29</v>
      </c>
      <c r="C18" s="2" t="s">
        <v>38</v>
      </c>
      <c r="D18" s="5" t="s">
        <v>26</v>
      </c>
      <c r="E18" s="2" t="s">
        <v>39</v>
      </c>
    </row>
    <row r="19" spans="1:5" ht="43" customHeight="1" x14ac:dyDescent="0.35">
      <c r="A19" s="1" t="s">
        <v>28</v>
      </c>
      <c r="B19" s="1" t="s">
        <v>29</v>
      </c>
      <c r="C19" s="2" t="s">
        <v>40</v>
      </c>
      <c r="D19" s="5" t="s">
        <v>26</v>
      </c>
      <c r="E19" s="2" t="s">
        <v>41</v>
      </c>
    </row>
    <row r="20" spans="1:5" ht="43" customHeight="1" x14ac:dyDescent="0.35">
      <c r="A20" s="1" t="s">
        <v>28</v>
      </c>
      <c r="B20" s="1" t="s">
        <v>29</v>
      </c>
      <c r="C20" s="2" t="s">
        <v>42</v>
      </c>
      <c r="D20" s="5" t="s">
        <v>26</v>
      </c>
      <c r="E20" s="2" t="s">
        <v>43</v>
      </c>
    </row>
    <row r="21" spans="1:5" ht="43" customHeight="1" x14ac:dyDescent="0.35">
      <c r="A21" s="1" t="s">
        <v>28</v>
      </c>
      <c r="B21" s="1" t="s">
        <v>29</v>
      </c>
      <c r="C21" s="2" t="s">
        <v>44</v>
      </c>
      <c r="D21" s="5" t="s">
        <v>26</v>
      </c>
      <c r="E21" s="2" t="s">
        <v>45</v>
      </c>
    </row>
    <row r="22" spans="1:5" ht="43" customHeight="1" x14ac:dyDescent="0.35">
      <c r="A22" s="1" t="s">
        <v>46</v>
      </c>
      <c r="B22" s="1" t="s">
        <v>47</v>
      </c>
      <c r="C22" s="2" t="s">
        <v>48</v>
      </c>
      <c r="D22" s="5" t="s">
        <v>26</v>
      </c>
      <c r="E22" s="2" t="s">
        <v>49</v>
      </c>
    </row>
    <row r="23" spans="1:5" ht="43" customHeight="1" x14ac:dyDescent="0.35">
      <c r="A23" s="1" t="s">
        <v>46</v>
      </c>
      <c r="B23" s="1" t="s">
        <v>47</v>
      </c>
      <c r="C23" s="2" t="s">
        <v>50</v>
      </c>
      <c r="D23" s="5" t="s">
        <v>26</v>
      </c>
      <c r="E23" s="2" t="s">
        <v>51</v>
      </c>
    </row>
    <row r="24" spans="1:5" ht="43" customHeight="1" x14ac:dyDescent="0.35">
      <c r="A24" s="1" t="s">
        <v>46</v>
      </c>
      <c r="B24" s="1" t="s">
        <v>47</v>
      </c>
      <c r="C24" s="2" t="s">
        <v>52</v>
      </c>
      <c r="D24" s="5" t="s">
        <v>26</v>
      </c>
      <c r="E24" s="2" t="s">
        <v>53</v>
      </c>
    </row>
    <row r="25" spans="1:5" ht="43" customHeight="1" x14ac:dyDescent="0.35">
      <c r="A25" s="1" t="s">
        <v>46</v>
      </c>
      <c r="B25" s="1" t="s">
        <v>47</v>
      </c>
      <c r="C25" s="2" t="s">
        <v>54</v>
      </c>
      <c r="D25" s="5" t="s">
        <v>26</v>
      </c>
      <c r="E25" s="2" t="s">
        <v>55</v>
      </c>
    </row>
    <row r="26" spans="1:5" ht="43" customHeight="1" x14ac:dyDescent="0.35">
      <c r="A26" s="1" t="s">
        <v>46</v>
      </c>
      <c r="B26" s="1" t="s">
        <v>47</v>
      </c>
      <c r="C26" s="2" t="s">
        <v>56</v>
      </c>
      <c r="D26" s="5" t="s">
        <v>26</v>
      </c>
      <c r="E26" s="2" t="s">
        <v>57</v>
      </c>
    </row>
    <row r="27" spans="1:5" ht="43" customHeight="1" x14ac:dyDescent="0.35">
      <c r="A27" s="1" t="s">
        <v>46</v>
      </c>
      <c r="B27" s="1" t="s">
        <v>47</v>
      </c>
      <c r="C27" s="2" t="s">
        <v>58</v>
      </c>
      <c r="D27" s="5" t="s">
        <v>26</v>
      </c>
      <c r="E27" s="2" t="s">
        <v>59</v>
      </c>
    </row>
    <row r="28" spans="1:5" ht="43" customHeight="1" x14ac:dyDescent="0.35">
      <c r="A28" s="1" t="s">
        <v>46</v>
      </c>
      <c r="B28" s="1" t="s">
        <v>47</v>
      </c>
      <c r="C28" s="2" t="s">
        <v>60</v>
      </c>
      <c r="D28" s="5" t="s">
        <v>26</v>
      </c>
      <c r="E28" s="2" t="s">
        <v>61</v>
      </c>
    </row>
    <row r="29" spans="1:5" ht="43" customHeight="1" x14ac:dyDescent="0.35">
      <c r="A29" s="1" t="s">
        <v>46</v>
      </c>
      <c r="B29" s="1" t="s">
        <v>47</v>
      </c>
      <c r="C29" s="2" t="s">
        <v>62</v>
      </c>
      <c r="D29" s="5" t="s">
        <v>26</v>
      </c>
      <c r="E29" s="2" t="s">
        <v>63</v>
      </c>
    </row>
    <row r="30" spans="1:5" x14ac:dyDescent="0.35">
      <c r="A30" s="3"/>
      <c r="B30" s="3"/>
      <c r="C30" s="3"/>
      <c r="D30" s="3"/>
      <c r="E30" s="3"/>
    </row>
    <row r="31" spans="1:5" x14ac:dyDescent="0.35">
      <c r="A31" s="3"/>
      <c r="B31" s="3"/>
      <c r="C31" s="3"/>
      <c r="D31" s="3"/>
      <c r="E31" s="3"/>
    </row>
    <row r="32" spans="1:5" ht="25" customHeight="1" x14ac:dyDescent="0.35">
      <c r="A32" s="12" t="s">
        <v>64</v>
      </c>
      <c r="B32" s="10"/>
      <c r="C32" s="10"/>
      <c r="D32" s="10"/>
      <c r="E32" s="10"/>
    </row>
    <row r="33" spans="1:5" x14ac:dyDescent="0.35">
      <c r="A33" s="6" t="s">
        <v>3</v>
      </c>
      <c r="B33" s="6" t="s">
        <v>65</v>
      </c>
      <c r="C33" s="6" t="s">
        <v>66</v>
      </c>
      <c r="D33" s="6" t="s">
        <v>67</v>
      </c>
      <c r="E33" s="6" t="s">
        <v>68</v>
      </c>
    </row>
    <row r="34" spans="1:5" x14ac:dyDescent="0.35">
      <c r="A34" s="7" t="s">
        <v>8</v>
      </c>
      <c r="B34" s="5">
        <f>COUNTIF($A$6:$A$29,A34)</f>
        <v>8</v>
      </c>
      <c r="C34" s="5">
        <f>COUNTIFS($A$6:$A$29,A34,$D$6:$D$29,"☑ Complete")</f>
        <v>8</v>
      </c>
      <c r="D34" s="5">
        <f>COUNTIFS($A$6:$A$29,A34,$D$6:$D$29,"◐ In progress")</f>
        <v>0</v>
      </c>
      <c r="E34" s="5">
        <f>COUNTIFS($A$6:$A$29,A34,$D$6:$D$29,"⚠ Blocked")</f>
        <v>0</v>
      </c>
    </row>
    <row r="35" spans="1:5" x14ac:dyDescent="0.35">
      <c r="A35" s="7" t="s">
        <v>28</v>
      </c>
      <c r="B35" s="5">
        <f>COUNTIF($A$6:$A$29,A35)</f>
        <v>8</v>
      </c>
      <c r="C35" s="5">
        <f>COUNTIFS($A$6:$A$29,A35,$D$6:$D$29,"☑ Complete")</f>
        <v>0</v>
      </c>
      <c r="D35" s="5">
        <f>COUNTIFS($A$6:$A$29,A35,$D$6:$D$29,"◐ In progress")</f>
        <v>0</v>
      </c>
      <c r="E35" s="5">
        <f>COUNTIFS($A$6:$A$29,A35,$D$6:$D$29,"⚠ Blocked")</f>
        <v>0</v>
      </c>
    </row>
    <row r="36" spans="1:5" x14ac:dyDescent="0.35">
      <c r="A36" s="7" t="s">
        <v>46</v>
      </c>
      <c r="B36" s="5">
        <f>COUNTIF($A$6:$A$29,A36)</f>
        <v>8</v>
      </c>
      <c r="C36" s="5">
        <f>COUNTIFS($A$6:$A$29,A36,$D$6:$D$29,"☑ Complete")</f>
        <v>0</v>
      </c>
      <c r="D36" s="5">
        <f>COUNTIFS($A$6:$A$29,A36,$D$6:$D$29,"◐ In progress")</f>
        <v>0</v>
      </c>
      <c r="E36" s="5">
        <f>COUNTIFS($A$6:$A$29,A36,$D$6:$D$29,"⚠ Blocked")</f>
        <v>0</v>
      </c>
    </row>
  </sheetData>
  <mergeCells count="4">
    <mergeCell ref="A2:E2"/>
    <mergeCell ref="A1:E1"/>
    <mergeCell ref="A32:E32"/>
    <mergeCell ref="A3:E3"/>
  </mergeCells>
  <conditionalFormatting sqref="D6:D29">
    <cfRule type="expression" dxfId="2" priority="1">
      <formula>$D6="☑ Complete"</formula>
    </cfRule>
    <cfRule type="expression" dxfId="1" priority="2">
      <formula>$D6="◐ In progress"</formula>
    </cfRule>
    <cfRule type="expression" dxfId="0" priority="3">
      <formula>$D6="⚠ Blocked"</formula>
    </cfRule>
  </conditionalFormatting>
  <dataValidations count="1">
    <dataValidation type="list" showErrorMessage="1" errorTitle="Invalid status" error="Select a status from the dropdown." promptTitle="Update status" prompt="Select the current task status." sqref="D6:D29" xr:uid="{00000000-0002-0000-0000-000000000000}">
      <formula1>"☐ Not started,◐ In progress,☑ Complete,⚠ Blocked"</formula1>
    </dataValidation>
  </dataValidations>
  <pageMargins left="0.75" right="0.75" top="1" bottom="1" header="0.5" footer="0.5"/>
  <pageSetup orientation="landscape"/>
  <headerFooter>
    <oddFooter>&amp;L&amp;"Aptos"&amp;10 &amp;KFF0000_x000D_# Confidential_x000D_&amp;1#&amp;"Aptos"&amp;10&amp;KFF0000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D13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2" customWidth="1"/>
    <col min="2" max="2" width="25" customWidth="1"/>
    <col min="3" max="3" width="18" customWidth="1"/>
    <col min="4" max="4" width="38" customWidth="1"/>
  </cols>
  <sheetData>
    <row r="1" spans="1:4" ht="32.15" customHeight="1" x14ac:dyDescent="0.35">
      <c r="A1" s="14" t="s">
        <v>69</v>
      </c>
      <c r="B1" s="10"/>
      <c r="C1" s="10"/>
      <c r="D1" s="10"/>
    </row>
    <row r="2" spans="1:4" x14ac:dyDescent="0.35">
      <c r="A2" s="15" t="s">
        <v>70</v>
      </c>
      <c r="B2" s="10"/>
      <c r="C2" s="10"/>
      <c r="D2" s="10"/>
    </row>
    <row r="3" spans="1:4" x14ac:dyDescent="0.35">
      <c r="A3" s="3"/>
      <c r="B3" s="3"/>
      <c r="C3" s="3"/>
      <c r="D3" s="3"/>
    </row>
    <row r="4" spans="1:4" x14ac:dyDescent="0.35">
      <c r="A4" s="8" t="s">
        <v>71</v>
      </c>
      <c r="B4" s="8" t="s">
        <v>72</v>
      </c>
      <c r="C4" s="8" t="s">
        <v>6</v>
      </c>
      <c r="D4" s="8" t="s">
        <v>73</v>
      </c>
    </row>
    <row r="5" spans="1:4" ht="38.15" customHeight="1" x14ac:dyDescent="0.35">
      <c r="A5" s="2" t="s">
        <v>74</v>
      </c>
      <c r="B5" s="2" t="s">
        <v>75</v>
      </c>
      <c r="C5" s="2" t="s">
        <v>11</v>
      </c>
      <c r="D5" s="2" t="s">
        <v>76</v>
      </c>
    </row>
    <row r="6" spans="1:4" ht="38.15" customHeight="1" x14ac:dyDescent="0.35">
      <c r="A6" s="2" t="s">
        <v>77</v>
      </c>
      <c r="B6" s="2" t="s">
        <v>78</v>
      </c>
      <c r="C6" s="2" t="s">
        <v>11</v>
      </c>
      <c r="D6" s="2" t="s">
        <v>79</v>
      </c>
    </row>
    <row r="7" spans="1:4" ht="38.15" customHeight="1" x14ac:dyDescent="0.35">
      <c r="A7" s="2" t="s">
        <v>80</v>
      </c>
      <c r="B7" s="2" t="s">
        <v>81</v>
      </c>
      <c r="C7" s="2" t="s">
        <v>11</v>
      </c>
      <c r="D7" s="2" t="s">
        <v>82</v>
      </c>
    </row>
    <row r="8" spans="1:4" ht="38.15" customHeight="1" x14ac:dyDescent="0.35">
      <c r="A8" s="2" t="s">
        <v>83</v>
      </c>
      <c r="B8" s="2" t="s">
        <v>75</v>
      </c>
      <c r="C8" s="2" t="s">
        <v>11</v>
      </c>
      <c r="D8" s="2" t="s">
        <v>84</v>
      </c>
    </row>
    <row r="9" spans="1:4" ht="38.15" customHeight="1" x14ac:dyDescent="0.35">
      <c r="A9" s="2" t="s">
        <v>85</v>
      </c>
      <c r="B9" s="2" t="s">
        <v>86</v>
      </c>
      <c r="C9" s="2" t="s">
        <v>26</v>
      </c>
      <c r="D9" s="2"/>
    </row>
    <row r="10" spans="1:4" ht="38.15" customHeight="1" x14ac:dyDescent="0.35">
      <c r="A10" s="2" t="s">
        <v>87</v>
      </c>
      <c r="B10" s="2" t="s">
        <v>88</v>
      </c>
      <c r="C10" s="2" t="s">
        <v>26</v>
      </c>
      <c r="D10" s="2"/>
    </row>
    <row r="11" spans="1:4" ht="38.15" customHeight="1" x14ac:dyDescent="0.35">
      <c r="A11" s="2" t="s">
        <v>89</v>
      </c>
      <c r="B11" s="2" t="s">
        <v>90</v>
      </c>
      <c r="C11" s="2" t="s">
        <v>26</v>
      </c>
      <c r="D11" s="2" t="s">
        <v>91</v>
      </c>
    </row>
    <row r="12" spans="1:4" ht="38.15" customHeight="1" x14ac:dyDescent="0.35">
      <c r="A12" s="2" t="s">
        <v>92</v>
      </c>
      <c r="B12" s="2" t="s">
        <v>93</v>
      </c>
      <c r="C12" s="2" t="s">
        <v>26</v>
      </c>
      <c r="D12" s="2"/>
    </row>
    <row r="13" spans="1:4" ht="38.15" customHeight="1" x14ac:dyDescent="0.35">
      <c r="A13" s="2" t="s">
        <v>94</v>
      </c>
      <c r="B13" s="2" t="s">
        <v>93</v>
      </c>
      <c r="C13" s="2" t="s">
        <v>26</v>
      </c>
      <c r="D13" s="2"/>
    </row>
  </sheetData>
  <autoFilter ref="A4:D13" xr:uid="{00000000-0009-0000-0000-000001000000}"/>
  <mergeCells count="2">
    <mergeCell ref="A1:D1"/>
    <mergeCell ref="A2:D2"/>
  </mergeCells>
  <dataValidations count="1">
    <dataValidation type="list" sqref="C5:C13" xr:uid="{00000000-0002-0000-0100-000000000000}">
      <formula1>"☐ Not started,◐ In progress,☑ Complete,⚠ Blocked"</formula1>
    </dataValidation>
  </dataValidations>
  <pageMargins left="0.75" right="0.75" top="1" bottom="1" header="0.5" footer="0.5"/>
  <pageSetup orientation="landscape"/>
  <headerFooter>
    <oddFooter>&amp;L&amp;"Aptos"&amp;10 &amp;KFF0000_x000D_# Confidential_x000D_&amp;1#&amp;"Aptos"&amp;10&amp;KFF0000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Week 3 Checklist</vt:lpstr>
      <vt:lpstr>Team Deliverables</vt:lpstr>
      <vt:lpstr>'Week 3 Checklist'!Print_Titles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 D Week 3 Checklist</dc:title>
  <dc:subject>ZZSC9020 Group D weekly project checklist</dc:subject>
  <dc:creator>Bel Zhou</dc:creator>
  <cp:keywords/>
  <dc:description/>
  <cp:lastModifiedBy>Bel Zhou</cp:lastModifiedBy>
  <cp:revision/>
  <dcterms:created xsi:type="dcterms:W3CDTF">2026-09-18T11:16:04Z</dcterms:created>
  <dcterms:modified xsi:type="dcterms:W3CDTF">2026-09-18T11:21:03Z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f76ac-c451-45d8-bdf0-9a412a8a92d4_Enabled">
    <vt:lpwstr>true</vt:lpwstr>
  </property>
  <property fmtid="{D5CDD505-2E9C-101B-9397-08002B2CF9AE}" pid="3" name="MSIP_Label_7d9f76ac-c451-45d8-bdf0-9a412a8a92d4_SetDate">
    <vt:lpwstr>2026-09-18T11:20:50Z</vt:lpwstr>
  </property>
  <property fmtid="{D5CDD505-2E9C-101B-9397-08002B2CF9AE}" pid="4" name="MSIP_Label_7d9f76ac-c451-45d8-bdf0-9a412a8a92d4_Method">
    <vt:lpwstr>Standard</vt:lpwstr>
  </property>
  <property fmtid="{D5CDD505-2E9C-101B-9397-08002B2CF9AE}" pid="5" name="MSIP_Label_7d9f76ac-c451-45d8-bdf0-9a412a8a92d4_Name">
    <vt:lpwstr>Confidential</vt:lpwstr>
  </property>
  <property fmtid="{D5CDD505-2E9C-101B-9397-08002B2CF9AE}" pid="6" name="MSIP_Label_7d9f76ac-c451-45d8-bdf0-9a412a8a92d4_SiteId">
    <vt:lpwstr>962eac56-3e0a-4f69-b806-ab958060d246</vt:lpwstr>
  </property>
  <property fmtid="{D5CDD505-2E9C-101B-9397-08002B2CF9AE}" pid="7" name="MSIP_Label_7d9f76ac-c451-45d8-bdf0-9a412a8a92d4_ActionId">
    <vt:lpwstr>88e4cd9e-5156-4601-bcda-17a5656c1e01</vt:lpwstr>
  </property>
  <property fmtid="{D5CDD505-2E9C-101B-9397-08002B2CF9AE}" pid="8" name="MSIP_Label_7d9f76ac-c451-45d8-bdf0-9a412a8a92d4_ContentBits">
    <vt:lpwstr>2</vt:lpwstr>
  </property>
  <property fmtid="{D5CDD505-2E9C-101B-9397-08002B2CF9AE}" pid="9" name="MSIP_Label_7d9f76ac-c451-45d8-bdf0-9a412a8a92d4_Tag">
    <vt:lpwstr>10, 3, 0, 1</vt:lpwstr>
  </property>
</Properties>
</file>